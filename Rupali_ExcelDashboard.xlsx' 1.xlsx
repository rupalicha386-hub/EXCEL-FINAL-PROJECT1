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hidePivotFieldList="1" defaultThemeVersion="166925"/>
  <xr:revisionPtr revIDLastSave="0" documentId="8_{0FE44E59-4C4A-431E-8753-E3348A32C7E1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bar chart " sheetId="4" r:id="rId1"/>
    <sheet name="bar &amp; pie chart " sheetId="5" r:id="rId2"/>
    <sheet name="pie chart" sheetId="6" r:id="rId3"/>
    <sheet name="dataset" sheetId="1" r:id="rId4"/>
    <sheet name="Dashboard" sheetId="7" r:id="rId5"/>
  </sheets>
  <definedNames>
    <definedName name="_xlnm._FilterDatabase" localSheetId="3" hidden="1">dataset!$A$1:$O$151</definedName>
  </definedNames>
  <calcPr calcId="191028"/>
  <pivotCaches>
    <pivotCache cacheId="494" r:id="rId6"/>
    <pivotCache cacheId="495" r:id="rId7"/>
    <pivotCache cacheId="49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7" l="1"/>
  <c r="C3" i="7"/>
  <c r="B3" i="7"/>
  <c r="A3" i="7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2" i="1"/>
  <c r="T2" i="1"/>
  <c r="S2" i="1"/>
  <c r="R2" i="1"/>
  <c r="Q2" i="1"/>
</calcChain>
</file>

<file path=xl/sharedStrings.xml><?xml version="1.0" encoding="utf-8"?>
<sst xmlns="http://schemas.openxmlformats.org/spreadsheetml/2006/main" count="1262" uniqueCount="224">
  <si>
    <t>Category</t>
  </si>
  <si>
    <t>Product_Name</t>
  </si>
  <si>
    <t>Sum of Quantity</t>
  </si>
  <si>
    <t>Sum of Unit_Price</t>
  </si>
  <si>
    <t>Sum of Discount</t>
  </si>
  <si>
    <t>Sum of Total_Sales</t>
  </si>
  <si>
    <t>Sum of Unit_Cost</t>
  </si>
  <si>
    <t>Sum of Profit</t>
  </si>
  <si>
    <t>Accessories</t>
  </si>
  <si>
    <t>Backpack</t>
  </si>
  <si>
    <t>Water Bottle</t>
  </si>
  <si>
    <t>Accessories Total</t>
  </si>
  <si>
    <t>Electronics</t>
  </si>
  <si>
    <t>USB Drive</t>
  </si>
  <si>
    <t>Wireless Mouse</t>
  </si>
  <si>
    <t>Electronics Total</t>
  </si>
  <si>
    <t>Home</t>
  </si>
  <si>
    <t>Coffee Mug</t>
  </si>
  <si>
    <t>Desk Lamp</t>
  </si>
  <si>
    <t>Home Total</t>
  </si>
  <si>
    <t>Stationery</t>
  </si>
  <si>
    <t>Notebook</t>
  </si>
  <si>
    <t>Pen Pack</t>
  </si>
  <si>
    <t>Stationery Total</t>
  </si>
  <si>
    <t>Grand Total</t>
  </si>
  <si>
    <t>Sales status</t>
  </si>
  <si>
    <t>Count of Order_ID</t>
  </si>
  <si>
    <t>High Sales</t>
  </si>
  <si>
    <t>Low Sales</t>
  </si>
  <si>
    <t>Order_ID</t>
  </si>
  <si>
    <t>Order_Date</t>
  </si>
  <si>
    <t>Product_ID</t>
  </si>
  <si>
    <t>Region</t>
  </si>
  <si>
    <t>Sales_Rep</t>
  </si>
  <si>
    <t>Customer_Type</t>
  </si>
  <si>
    <t>Quantity</t>
  </si>
  <si>
    <t>Unit_Price</t>
  </si>
  <si>
    <t>Discount</t>
  </si>
  <si>
    <t>Total_Sales</t>
  </si>
  <si>
    <t>Unit_Cost</t>
  </si>
  <si>
    <t>Profit</t>
  </si>
  <si>
    <t>Payment_Method</t>
  </si>
  <si>
    <t>Total Sales</t>
  </si>
  <si>
    <t xml:space="preserve">Total profit </t>
  </si>
  <si>
    <t xml:space="preserve">Total orders </t>
  </si>
  <si>
    <t>Total Quantity</t>
  </si>
  <si>
    <t>ORD0065</t>
  </si>
  <si>
    <t>P003</t>
  </si>
  <si>
    <t>North</t>
  </si>
  <si>
    <t>Diya</t>
  </si>
  <si>
    <t>Member</t>
  </si>
  <si>
    <t>Cash</t>
  </si>
  <si>
    <t>ORD0147</t>
  </si>
  <si>
    <t>Kabir</t>
  </si>
  <si>
    <t>New</t>
  </si>
  <si>
    <t>ORD0032</t>
  </si>
  <si>
    <t>P004</t>
  </si>
  <si>
    <t>South</t>
  </si>
  <si>
    <t>Card</t>
  </si>
  <si>
    <t>ORD0141</t>
  </si>
  <si>
    <t>P002</t>
  </si>
  <si>
    <t>East</t>
  </si>
  <si>
    <t>Rohan</t>
  </si>
  <si>
    <t>Regular</t>
  </si>
  <si>
    <t>ORD0022</t>
  </si>
  <si>
    <t>UPI</t>
  </si>
  <si>
    <t>ORD0026</t>
  </si>
  <si>
    <t>P001</t>
  </si>
  <si>
    <t>Meera</t>
  </si>
  <si>
    <t>ORD0081</t>
  </si>
  <si>
    <t>P005</t>
  </si>
  <si>
    <t>West</t>
  </si>
  <si>
    <t>Aarav</t>
  </si>
  <si>
    <t>ORD0117</t>
  </si>
  <si>
    <t>ORD0060</t>
  </si>
  <si>
    <t>ORD0099</t>
  </si>
  <si>
    <t>ORD0134</t>
  </si>
  <si>
    <t>ORD0113</t>
  </si>
  <si>
    <t>ORD0056</t>
  </si>
  <si>
    <t>P006</t>
  </si>
  <si>
    <t>ORD0124</t>
  </si>
  <si>
    <t>P008</t>
  </si>
  <si>
    <t>ORD0126</t>
  </si>
  <si>
    <t>ORD0035</t>
  </si>
  <si>
    <t>ORD0082</t>
  </si>
  <si>
    <t>ORD0150</t>
  </si>
  <si>
    <t>ORD0095</t>
  </si>
  <si>
    <t>ORD0137</t>
  </si>
  <si>
    <t>ORD0071</t>
  </si>
  <si>
    <t>ORD0030</t>
  </si>
  <si>
    <t>ORD0018</t>
  </si>
  <si>
    <t>ORD0067</t>
  </si>
  <si>
    <t>ORD0058</t>
  </si>
  <si>
    <t>ORD0050</t>
  </si>
  <si>
    <t>P007</t>
  </si>
  <si>
    <t>ORD0107</t>
  </si>
  <si>
    <t>ORD0066</t>
  </si>
  <si>
    <t>ORD0006</t>
  </si>
  <si>
    <t>ORD0142</t>
  </si>
  <si>
    <t>ORD0037</t>
  </si>
  <si>
    <t>ORD0077</t>
  </si>
  <si>
    <t>ORD0148</t>
  </si>
  <si>
    <t>ORD0014</t>
  </si>
  <si>
    <t>ORD0132</t>
  </si>
  <si>
    <t>ORD0040</t>
  </si>
  <si>
    <t>ORD0004</t>
  </si>
  <si>
    <t>ORD0125</t>
  </si>
  <si>
    <t>ORD0085</t>
  </si>
  <si>
    <t>ORD0012</t>
  </si>
  <si>
    <t>ORD0011</t>
  </si>
  <si>
    <t>ORD0031</t>
  </si>
  <si>
    <t>ORD0010</t>
  </si>
  <si>
    <t>ORD0087</t>
  </si>
  <si>
    <t>ORD0136</t>
  </si>
  <si>
    <t>ORD0009</t>
  </si>
  <si>
    <t>ORD0041</t>
  </si>
  <si>
    <t>ORD0090</t>
  </si>
  <si>
    <t>ORD0093</t>
  </si>
  <si>
    <t>ORD0074</t>
  </si>
  <si>
    <t>ORD0039</t>
  </si>
  <si>
    <t>ORD0101</t>
  </si>
  <si>
    <t>ORD0024</t>
  </si>
  <si>
    <t>ORD0127</t>
  </si>
  <si>
    <t>ORD0079</t>
  </si>
  <si>
    <t>ORD0086</t>
  </si>
  <si>
    <t>ORD0075</t>
  </si>
  <si>
    <t>ORD0059</t>
  </si>
  <si>
    <t>ORD0135</t>
  </si>
  <si>
    <t>ORD0146</t>
  </si>
  <si>
    <t>ORD0103</t>
  </si>
  <si>
    <t>ORD0102</t>
  </si>
  <si>
    <t>ORD0123</t>
  </si>
  <si>
    <t>ORD0013</t>
  </si>
  <si>
    <t>ORD0121</t>
  </si>
  <si>
    <t>ORD0122</t>
  </si>
  <si>
    <t>ORD0097</t>
  </si>
  <si>
    <t>ORD0108</t>
  </si>
  <si>
    <t>ORD0096</t>
  </si>
  <si>
    <t>ORD0110</t>
  </si>
  <si>
    <t>ORD0118</t>
  </si>
  <si>
    <t>ORD0001</t>
  </si>
  <si>
    <t>ORD0019</t>
  </si>
  <si>
    <t>ORD0054</t>
  </si>
  <si>
    <t>ORD0138</t>
  </si>
  <si>
    <t>ORD0053</t>
  </si>
  <si>
    <t>ORD0078</t>
  </si>
  <si>
    <t>ORD0139</t>
  </si>
  <si>
    <t>ORD0144</t>
  </si>
  <si>
    <t>ORD0046</t>
  </si>
  <si>
    <t>ORD0112</t>
  </si>
  <si>
    <t>ORD0084</t>
  </si>
  <si>
    <t>ORD0130</t>
  </si>
  <si>
    <t>ORD0068</t>
  </si>
  <si>
    <t>ORD0089</t>
  </si>
  <si>
    <t>ORD0017</t>
  </si>
  <si>
    <t>ORD0064</t>
  </si>
  <si>
    <t>ORD0088</t>
  </si>
  <si>
    <t>ORD0057</t>
  </si>
  <si>
    <t>ORD0070</t>
  </si>
  <si>
    <t>ORD0129</t>
  </si>
  <si>
    <t>ORD0119</t>
  </si>
  <si>
    <t>ORD0015</t>
  </si>
  <si>
    <t>ORD0002</t>
  </si>
  <si>
    <t>ORD0055</t>
  </si>
  <si>
    <t>ORD0047</t>
  </si>
  <si>
    <t>ORD0020</t>
  </si>
  <si>
    <t>ORD0033</t>
  </si>
  <si>
    <t>ORD0034</t>
  </si>
  <si>
    <t>ORD0100</t>
  </si>
  <si>
    <t>ORD0140</t>
  </si>
  <si>
    <t>ORD0105</t>
  </si>
  <si>
    <t>ORD0062</t>
  </si>
  <si>
    <t>ORD0115</t>
  </si>
  <si>
    <t>ORD0003</t>
  </si>
  <si>
    <t>ORD0043</t>
  </si>
  <si>
    <t>ORD0143</t>
  </si>
  <si>
    <t>ORD0083</t>
  </si>
  <si>
    <t>ORD0128</t>
  </si>
  <si>
    <t>ORD0133</t>
  </si>
  <si>
    <t>ORD0092</t>
  </si>
  <si>
    <t>ORD0072</t>
  </si>
  <si>
    <t>ORD0025</t>
  </si>
  <si>
    <t>ORD0106</t>
  </si>
  <si>
    <t>ORD0028</t>
  </si>
  <si>
    <t>ORD0007</t>
  </si>
  <si>
    <t>ORD0063</t>
  </si>
  <si>
    <t>ORD0145</t>
  </si>
  <si>
    <t>ORD0021</t>
  </si>
  <si>
    <t>ORD0051</t>
  </si>
  <si>
    <t>ORD0111</t>
  </si>
  <si>
    <t>ORD0069</t>
  </si>
  <si>
    <t>ORD0098</t>
  </si>
  <si>
    <t>ORD0005</t>
  </si>
  <si>
    <t>ORD0061</t>
  </si>
  <si>
    <t>ORD0027</t>
  </si>
  <si>
    <t>ORD0052</t>
  </si>
  <si>
    <t>ORD0045</t>
  </si>
  <si>
    <t>ORD0131</t>
  </si>
  <si>
    <t>ORD0116</t>
  </si>
  <si>
    <t>ORD0042</t>
  </si>
  <si>
    <t>ORD0008</t>
  </si>
  <si>
    <t>ORD0044</t>
  </si>
  <si>
    <t>ORD0149</t>
  </si>
  <si>
    <t>ORD0023</t>
  </si>
  <si>
    <t>ORD0080</t>
  </si>
  <si>
    <t>ORD0048</t>
  </si>
  <si>
    <t>ORD0109</t>
  </si>
  <si>
    <t>ORD0029</t>
  </si>
  <si>
    <t>ORD0104</t>
  </si>
  <si>
    <t>ORD0114</t>
  </si>
  <si>
    <t>ORD0076</t>
  </si>
  <si>
    <t>ORD0016</t>
  </si>
  <si>
    <t>ORD0049</t>
  </si>
  <si>
    <t>ORD0036</t>
  </si>
  <si>
    <t>ORD0091</t>
  </si>
  <si>
    <t>ORD0120</t>
  </si>
  <si>
    <t>ORD0038</t>
  </si>
  <si>
    <t>ORD0073</t>
  </si>
  <si>
    <t>ORD0094</t>
  </si>
  <si>
    <t>Retail Sales dashboard</t>
  </si>
  <si>
    <t xml:space="preserve">TOTAL SALES </t>
  </si>
  <si>
    <t xml:space="preserve">TOTAL PROFIT </t>
  </si>
  <si>
    <t>TOTAL ORDERS</t>
  </si>
  <si>
    <t xml:space="preserve"> 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</si>
</sst>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.00"/>
    <numFmt numFmtId="165" formatCode="[$₹-4009]\ #,##0.0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1" fontId="2" fillId="0" borderId="0" xfId="0" applyNumberFormat="1" applyFont="1" applyFill="1" applyBorder="1" applyAlignment="1">
      <alignment horizontal="center"/>
    </xf>
    <xf numFmtId="9" fontId="2" fillId="0" borderId="0" xfId="0" applyNumberFormat="1" applyFont="1" applyFill="1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165" fontId="0" fillId="0" borderId="0" xfId="0" applyNumberFormat="1"/>
    <xf numFmtId="9" fontId="0" fillId="0" borderId="0" xfId="0" applyNumberFormat="1"/>
    <xf numFmtId="0" fontId="0" fillId="0" borderId="0" xfId="0" applyNumberForma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4" borderId="6" xfId="0" applyNumberFormat="1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6" borderId="8" xfId="0" applyNumberFormat="1" applyFont="1" applyFill="1" applyBorder="1" applyAlignment="1">
      <alignment horizontal="center"/>
    </xf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 1.xlsx]bar chart 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'!$C$4:$C$16</c:f>
              <c:numCache>
                <c:formatCode>0</c:formatCode>
                <c:ptCount val="8"/>
                <c:pt idx="0">
                  <c:v>76</c:v>
                </c:pt>
                <c:pt idx="1">
                  <c:v>104</c:v>
                </c:pt>
                <c:pt idx="2">
                  <c:v>75</c:v>
                </c:pt>
                <c:pt idx="3">
                  <c:v>48</c:v>
                </c:pt>
                <c:pt idx="4">
                  <c:v>100</c:v>
                </c:pt>
                <c:pt idx="5">
                  <c:v>91</c:v>
                </c:pt>
                <c:pt idx="6">
                  <c:v>97</c:v>
                </c:pt>
                <c:pt idx="7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A-47F0-896B-166599D50F7B}"/>
            </c:ext>
          </c:extLst>
        </c:ser>
        <c:ser>
          <c:idx val="1"/>
          <c:order val="1"/>
          <c:tx>
            <c:strRef>
              <c:f>'bar chart '!$D$3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'!$D$4:$D$16</c:f>
              <c:numCache>
                <c:formatCode>[$₹-4009]\ #,##0.0</c:formatCode>
                <c:ptCount val="8"/>
                <c:pt idx="0">
                  <c:v>14250</c:v>
                </c:pt>
                <c:pt idx="1">
                  <c:v>5220</c:v>
                </c:pt>
                <c:pt idx="2">
                  <c:v>5850</c:v>
                </c:pt>
                <c:pt idx="3">
                  <c:v>5850</c:v>
                </c:pt>
                <c:pt idx="4">
                  <c:v>4620</c:v>
                </c:pt>
                <c:pt idx="5">
                  <c:v>9880</c:v>
                </c:pt>
                <c:pt idx="6">
                  <c:v>1440</c:v>
                </c:pt>
                <c:pt idx="7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3A-47F0-896B-166599D50F7B}"/>
            </c:ext>
          </c:extLst>
        </c:ser>
        <c:ser>
          <c:idx val="2"/>
          <c:order val="2"/>
          <c:tx>
            <c:strRef>
              <c:f>'bar chart '!$E$3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'!$E$4:$E$16</c:f>
              <c:numCache>
                <c:formatCode>0%</c:formatCode>
                <c:ptCount val="8"/>
                <c:pt idx="0">
                  <c:v>1.35</c:v>
                </c:pt>
                <c:pt idx="1">
                  <c:v>2.95</c:v>
                </c:pt>
                <c:pt idx="2">
                  <c:v>1.3000000000000005</c:v>
                </c:pt>
                <c:pt idx="3">
                  <c:v>0.60000000000000009</c:v>
                </c:pt>
                <c:pt idx="4">
                  <c:v>1.3500000000000003</c:v>
                </c:pt>
                <c:pt idx="5">
                  <c:v>1.6500000000000001</c:v>
                </c:pt>
                <c:pt idx="6">
                  <c:v>1.9500000000000002</c:v>
                </c:pt>
                <c:pt idx="7">
                  <c:v>0.95000000000000007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3A-47F0-896B-166599D50F7B}"/>
            </c:ext>
          </c:extLst>
        </c:ser>
        <c:ser>
          <c:idx val="3"/>
          <c:order val="3"/>
          <c:tx>
            <c:strRef>
              <c:f>'bar chart '!$F$3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'!$F$4:$F$16</c:f>
              <c:numCache>
                <c:formatCode>[$₹-4009]\ #,##0.00</c:formatCode>
                <c:ptCount val="8"/>
                <c:pt idx="0">
                  <c:v>52987.5</c:v>
                </c:pt>
                <c:pt idx="1">
                  <c:v>16614</c:v>
                </c:pt>
                <c:pt idx="2">
                  <c:v>30420</c:v>
                </c:pt>
                <c:pt idx="3">
                  <c:v>28957.5</c:v>
                </c:pt>
                <c:pt idx="4">
                  <c:v>20493</c:v>
                </c:pt>
                <c:pt idx="5">
                  <c:v>43082</c:v>
                </c:pt>
                <c:pt idx="6">
                  <c:v>5361</c:v>
                </c:pt>
                <c:pt idx="7">
                  <c:v>3008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3A-47F0-896B-166599D50F7B}"/>
            </c:ext>
          </c:extLst>
        </c:ser>
        <c:ser>
          <c:idx val="4"/>
          <c:order val="4"/>
          <c:tx>
            <c:strRef>
              <c:f>'bar chart '!$G$3</c:f>
              <c:strCache>
                <c:ptCount val="1"/>
                <c:pt idx="0">
                  <c:v>Sum of Unit_Cost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'!$G$4:$G$16</c:f>
              <c:numCache>
                <c:formatCode>[$₹-4009]\ #,##0.00</c:formatCode>
                <c:ptCount val="8"/>
                <c:pt idx="0">
                  <c:v>9554.6899999999987</c:v>
                </c:pt>
                <c:pt idx="1">
                  <c:v>3476.5500000000006</c:v>
                </c:pt>
                <c:pt idx="2">
                  <c:v>3965.75</c:v>
                </c:pt>
                <c:pt idx="3">
                  <c:v>4029.0599999999995</c:v>
                </c:pt>
                <c:pt idx="4">
                  <c:v>3110.8600000000006</c:v>
                </c:pt>
                <c:pt idx="5">
                  <c:v>6988.83</c:v>
                </c:pt>
                <c:pt idx="6">
                  <c:v>986.09999999999991</c:v>
                </c:pt>
                <c:pt idx="7">
                  <c:v>430.77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3A-47F0-896B-166599D50F7B}"/>
            </c:ext>
          </c:extLst>
        </c:ser>
        <c:ser>
          <c:idx val="5"/>
          <c:order val="5"/>
          <c:tx>
            <c:strRef>
              <c:f>'bar chart '!$H$3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'bar chart '!$A$4:$B$16</c:f>
              <c:multiLvlStrCache>
                <c:ptCount val="8"/>
                <c:lvl>
                  <c:pt idx="0">
                    <c:v>Backpack</c:v>
                  </c:pt>
                  <c:pt idx="1">
                    <c:v>Water Bottle</c:v>
                  </c:pt>
                  <c:pt idx="2">
                    <c:v>USB Drive</c:v>
                  </c:pt>
                  <c:pt idx="3">
                    <c:v>Wireless Mouse</c:v>
                  </c:pt>
                  <c:pt idx="4">
                    <c:v>Coffee Mug</c:v>
                  </c:pt>
                  <c:pt idx="5">
                    <c:v>Desk Lamp</c:v>
                  </c:pt>
                  <c:pt idx="6">
                    <c:v>Notebook</c:v>
                  </c:pt>
                  <c:pt idx="7">
                    <c:v>Pen Pack</c:v>
                  </c:pt>
                </c:lvl>
                <c:lvl>
                  <c:pt idx="0">
                    <c:v>Accessories</c:v>
                  </c:pt>
                  <c:pt idx="2">
                    <c:v>Electronics</c:v>
                  </c:pt>
                  <c:pt idx="4">
                    <c:v>Home</c:v>
                  </c:pt>
                  <c:pt idx="6">
                    <c:v>Stationery</c:v>
                  </c:pt>
                </c:lvl>
              </c:multiLvlStrCache>
            </c:multiLvlStrRef>
          </c:cat>
          <c:val>
            <c:numRef>
              <c:f>'bar chart '!$H$4:$H$16</c:f>
              <c:numCache>
                <c:formatCode>[$₹-4009]\ #,##0.00</c:formatCode>
                <c:ptCount val="8"/>
                <c:pt idx="0">
                  <c:v>15376.570000000002</c:v>
                </c:pt>
                <c:pt idx="1">
                  <c:v>4264.1799999999985</c:v>
                </c:pt>
                <c:pt idx="2">
                  <c:v>7212.76</c:v>
                </c:pt>
                <c:pt idx="3">
                  <c:v>7655.670000000001</c:v>
                </c:pt>
                <c:pt idx="4">
                  <c:v>5899.84</c:v>
                </c:pt>
                <c:pt idx="5">
                  <c:v>9561.73</c:v>
                </c:pt>
                <c:pt idx="6">
                  <c:v>1351.8999999999999</c:v>
                </c:pt>
                <c:pt idx="7">
                  <c:v>830.51999999999987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3A-47F0-896B-166599D50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655240"/>
        <c:axId val="1788140040"/>
      </c:barChart>
      <c:catAx>
        <c:axId val="178665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40040"/>
        <c:crosses val="autoZero"/>
        <c:auto val="1"/>
        <c:lblAlgn val="ctr"/>
        <c:lblOffset val="100"/>
        <c:noMultiLvlLbl val="0"/>
      </c:catAx>
      <c:valAx>
        <c:axId val="178814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5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 1.xlsx]bar &amp; pie chart 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 Distribution</a:t>
            </a:r>
          </a:p>
        </c:rich>
      </c:tx>
      <c:layout>
        <c:manualLayout>
          <c:xMode val="edge"/>
          <c:yMode val="edge"/>
          <c:x val="0.26705796150481192"/>
          <c:y val="2.8725040916382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'bar &amp; pie chart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D2-49CB-9AD2-0A160CF699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D2-49CB-9AD2-0A160CF699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D2-49CB-9AD2-0A160CF699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D2-49CB-9AD2-0A160CF69964}"/>
              </c:ext>
            </c:extLst>
          </c:dPt>
          <c:cat>
            <c:strRef>
              <c:f>'bar &amp; pie chart 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  <c:pt idx="3">
                  <c:v>Stationery</c:v>
                </c:pt>
              </c:strCache>
            </c:strRef>
          </c:cat>
          <c:val>
            <c:numRef>
              <c:f>'bar &amp; pie chart '!$B$4:$B$8</c:f>
              <c:numCache>
                <c:formatCode>[$₹-4009]\ #,##0.00</c:formatCode>
                <c:ptCount val="4"/>
                <c:pt idx="0">
                  <c:v>69601.5</c:v>
                </c:pt>
                <c:pt idx="1">
                  <c:v>59377.5</c:v>
                </c:pt>
                <c:pt idx="2">
                  <c:v>63575</c:v>
                </c:pt>
                <c:pt idx="3">
                  <c:v>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3-4A2C-A67D-464962417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 1.xlsx]bar &amp; pie chart 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&amp; pie chart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pie chart 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  <c:pt idx="3">
                  <c:v>Stationery</c:v>
                </c:pt>
              </c:strCache>
            </c:strRef>
          </c:cat>
          <c:val>
            <c:numRef>
              <c:f>'bar &amp; pie chart '!$B$4:$B$8</c:f>
              <c:numCache>
                <c:formatCode>[$₹-4009]\ #,##0.00</c:formatCode>
                <c:ptCount val="4"/>
                <c:pt idx="0">
                  <c:v>69601.5</c:v>
                </c:pt>
                <c:pt idx="1">
                  <c:v>59377.5</c:v>
                </c:pt>
                <c:pt idx="2">
                  <c:v>63575</c:v>
                </c:pt>
                <c:pt idx="3">
                  <c:v>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C-4F09-B45F-D8A04CEF5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817608"/>
        <c:axId val="1786644488"/>
      </c:barChart>
      <c:catAx>
        <c:axId val="103381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44488"/>
        <c:crosses val="autoZero"/>
        <c:auto val="1"/>
        <c:lblAlgn val="ctr"/>
        <c:lblOffset val="100"/>
        <c:noMultiLvlLbl val="0"/>
      </c:catAx>
      <c:valAx>
        <c:axId val="178664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1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 1.xlsx]pie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A383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vs Low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A38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08-49EE-8FAA-35A0CCF870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08-49EE-8FAA-35A0CCF870C2}"/>
              </c:ext>
            </c:extLst>
          </c:dPt>
          <c:cat>
            <c:strRef>
              <c:f>'pie chart'!$A$4:$A$6</c:f>
              <c:strCache>
                <c:ptCount val="2"/>
                <c:pt idx="0">
                  <c:v>High Sales</c:v>
                </c:pt>
                <c:pt idx="1">
                  <c:v>Low Sales</c:v>
                </c:pt>
              </c:strCache>
            </c:strRef>
          </c:cat>
          <c:val>
            <c:numRef>
              <c:f>'pie chart'!$B$4:$B$6</c:f>
              <c:numCache>
                <c:formatCode>General</c:formatCode>
                <c:ptCount val="2"/>
                <c:pt idx="0">
                  <c:v>40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C-45B0-910F-B0BDFC29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 1.xlsx]bar &amp; pie chart 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&amp; pie chart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pie chart 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  <c:pt idx="3">
                  <c:v>Stationery</c:v>
                </c:pt>
              </c:strCache>
            </c:strRef>
          </c:cat>
          <c:val>
            <c:numRef>
              <c:f>'bar &amp; pie chart '!$B$4:$B$8</c:f>
              <c:numCache>
                <c:formatCode>[$₹-4009]\ #,##0.00</c:formatCode>
                <c:ptCount val="4"/>
                <c:pt idx="0">
                  <c:v>69601.5</c:v>
                </c:pt>
                <c:pt idx="1">
                  <c:v>59377.5</c:v>
                </c:pt>
                <c:pt idx="2">
                  <c:v>63575</c:v>
                </c:pt>
                <c:pt idx="3">
                  <c:v>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1-4F80-848D-5E4635967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817608"/>
        <c:axId val="1786644488"/>
      </c:barChart>
      <c:catAx>
        <c:axId val="103381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44488"/>
        <c:crosses val="autoZero"/>
        <c:auto val="1"/>
        <c:lblAlgn val="ctr"/>
        <c:lblOffset val="100"/>
        <c:noMultiLvlLbl val="0"/>
      </c:catAx>
      <c:valAx>
        <c:axId val="178664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1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[Rupali_ExcelDashboard.xlsx' 1.xlsx]pie chart!PivotTable6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A383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vs Low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A383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86-4637-9EB4-A61ABB52EA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86-4637-9EB4-A61ABB52EAA9}"/>
              </c:ext>
            </c:extLst>
          </c:dPt>
          <c:cat>
            <c:strRef>
              <c:f>'pie chart'!$A$4:$A$6</c:f>
              <c:strCache>
                <c:ptCount val="2"/>
                <c:pt idx="0">
                  <c:v>High Sales</c:v>
                </c:pt>
                <c:pt idx="1">
                  <c:v>Low Sales</c:v>
                </c:pt>
              </c:strCache>
            </c:strRef>
          </c:cat>
          <c:val>
            <c:numRef>
              <c:f>'pie chart'!$B$4:$B$6</c:f>
              <c:numCache>
                <c:formatCode>General</c:formatCode>
                <c:ptCount val="2"/>
                <c:pt idx="0">
                  <c:v>40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86-4637-9EB4-A61ABB52E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</xdr:rowOff>
    </xdr:from>
    <xdr:to>
      <xdr:col>4</xdr:col>
      <xdr:colOff>247650</xdr:colOff>
      <xdr:row>32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0689B6-3E66-783B-B707-FBB98D12B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1209675</xdr:colOff>
      <xdr:row>0</xdr:row>
      <xdr:rowOff>0</xdr:rowOff>
    </xdr:from>
    <xdr:to>
      <xdr:col>9</xdr:col>
      <xdr:colOff>295275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639184-CEC5-C20E-F284-AAF70ADBC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0</xdr:row>
      <xdr:rowOff>0</xdr:rowOff>
    </xdr:from>
    <xdr:to>
      <xdr:col>17</xdr:col>
      <xdr:colOff>0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D4B010-AEFB-05C0-ADF6-1E9AE5FB4F74}"/>
            </a:ext>
            <a:ext uri="{147F2762-F138-4A5C-976F-8EAC2B608ADB}">
              <a16:predDERef xmlns:a16="http://schemas.microsoft.com/office/drawing/2014/main" pred="{E0639184-CEC5-C20E-F284-AAF70ADBC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1162050</xdr:colOff>
      <xdr:row>0</xdr:row>
      <xdr:rowOff>38100</xdr:rowOff>
    </xdr:from>
    <xdr:to>
      <xdr:col>9</xdr:col>
      <xdr:colOff>285750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6C223-D798-0D46-3E6D-86BC434EF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0</xdr:rowOff>
    </xdr:from>
    <xdr:to>
      <xdr:col>11</xdr:col>
      <xdr:colOff>333375</xdr:colOff>
      <xdr:row>14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723ADAD-9B46-45F4-8ADF-384462B1F8CA}"/>
            </a:ext>
            <a:ext uri="{147F2762-F138-4A5C-976F-8EAC2B608ADB}">
              <a16:predDERef xmlns:a16="http://schemas.microsoft.com/office/drawing/2014/main" pred="{E0639184-CEC5-C20E-F284-AAF70ADBC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333375</xdr:colOff>
      <xdr:row>0</xdr:row>
      <xdr:rowOff>0</xdr:rowOff>
    </xdr:from>
    <xdr:to>
      <xdr:col>19</xdr:col>
      <xdr:colOff>28575</xdr:colOff>
      <xdr:row>14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B98B54E-9324-4EF3-92D6-FB82CEE11408}"/>
            </a:ext>
            <a:ext uri="{147F2762-F138-4A5C-976F-8EAC2B608ADB}">
              <a16:predDERef xmlns:a16="http://schemas.microsoft.com/office/drawing/2014/main" pred="{3723ADAD-9B46-45F4-8ADF-384462B1F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508250462961" createdVersion="8" refreshedVersion="8" minRefreshableVersion="3" recordCount="150" xr:uid="{3D75FA96-6B1E-4D0D-BBB7-C2D7F0298B81}">
  <cacheSource type="worksheet">
    <worksheetSource ref="A1:U151" sheet="dataset"/>
  </cacheSource>
  <cacheFields count="20">
    <cacheField name="Order_ID" numFmtId="0">
      <sharedItems count="150">
        <s v="ORD0065"/>
        <s v="ORD0147"/>
        <s v="ORD0032"/>
        <s v="ORD0141"/>
        <s v="ORD0022"/>
        <s v="ORD0026"/>
        <s v="ORD0081"/>
        <s v="ORD0117"/>
        <s v="ORD0060"/>
        <s v="ORD0099"/>
        <s v="ORD0134"/>
        <s v="ORD0113"/>
        <s v="ORD0056"/>
        <s v="ORD0124"/>
        <s v="ORD0126"/>
        <s v="ORD0035"/>
        <s v="ORD0082"/>
        <s v="ORD0150"/>
        <s v="ORD0095"/>
        <s v="ORD0137"/>
        <s v="ORD0071"/>
        <s v="ORD0030"/>
        <s v="ORD0018"/>
        <s v="ORD0067"/>
        <s v="ORD0058"/>
        <s v="ORD0050"/>
        <s v="ORD0107"/>
        <s v="ORD0066"/>
        <s v="ORD0006"/>
        <s v="ORD0142"/>
        <s v="ORD0037"/>
        <s v="ORD0077"/>
        <s v="ORD0148"/>
        <s v="ORD0014"/>
        <s v="ORD0132"/>
        <s v="ORD0040"/>
        <s v="ORD0004"/>
        <s v="ORD0125"/>
        <s v="ORD0085"/>
        <s v="ORD0012"/>
        <s v="ORD0011"/>
        <s v="ORD0031"/>
        <s v="ORD0010"/>
        <s v="ORD0087"/>
        <s v="ORD0136"/>
        <s v="ORD0009"/>
        <s v="ORD0041"/>
        <s v="ORD0090"/>
        <s v="ORD0093"/>
        <s v="ORD0074"/>
        <s v="ORD0039"/>
        <s v="ORD0101"/>
        <s v="ORD0024"/>
        <s v="ORD0127"/>
        <s v="ORD0079"/>
        <s v="ORD0086"/>
        <s v="ORD0075"/>
        <s v="ORD0059"/>
        <s v="ORD0135"/>
        <s v="ORD0146"/>
        <s v="ORD0103"/>
        <s v="ORD0102"/>
        <s v="ORD0123"/>
        <s v="ORD0013"/>
        <s v="ORD0121"/>
        <s v="ORD0122"/>
        <s v="ORD0097"/>
        <s v="ORD0108"/>
        <s v="ORD0096"/>
        <s v="ORD0110"/>
        <s v="ORD0118"/>
        <s v="ORD0001"/>
        <s v="ORD0019"/>
        <s v="ORD0054"/>
        <s v="ORD0138"/>
        <s v="ORD0053"/>
        <s v="ORD0078"/>
        <s v="ORD0139"/>
        <s v="ORD0144"/>
        <s v="ORD0046"/>
        <s v="ORD0112"/>
        <s v="ORD0084"/>
        <s v="ORD0130"/>
        <s v="ORD0068"/>
        <s v="ORD0089"/>
        <s v="ORD0017"/>
        <s v="ORD0064"/>
        <s v="ORD0088"/>
        <s v="ORD0057"/>
        <s v="ORD0070"/>
        <s v="ORD0129"/>
        <s v="ORD0119"/>
        <s v="ORD0015"/>
        <s v="ORD0002"/>
        <s v="ORD0055"/>
        <s v="ORD0047"/>
        <s v="ORD0020"/>
        <s v="ORD0033"/>
        <s v="ORD0034"/>
        <s v="ORD0100"/>
        <s v="ORD0140"/>
        <s v="ORD0105"/>
        <s v="ORD0062"/>
        <s v="ORD0115"/>
        <s v="ORD0003"/>
        <s v="ORD0043"/>
        <s v="ORD0143"/>
        <s v="ORD0083"/>
        <s v="ORD0128"/>
        <s v="ORD0133"/>
        <s v="ORD0092"/>
        <s v="ORD0072"/>
        <s v="ORD0025"/>
        <s v="ORD0106"/>
        <s v="ORD0028"/>
        <s v="ORD0007"/>
        <s v="ORD0063"/>
        <s v="ORD0145"/>
        <s v="ORD0021"/>
        <s v="ORD0051"/>
        <s v="ORD0111"/>
        <s v="ORD0069"/>
        <s v="ORD0098"/>
        <s v="ORD0005"/>
        <s v="ORD0061"/>
        <s v="ORD0027"/>
        <s v="ORD0052"/>
        <s v="ORD0045"/>
        <s v="ORD0131"/>
        <s v="ORD0116"/>
        <s v="ORD0042"/>
        <s v="ORD0008"/>
        <s v="ORD0044"/>
        <s v="ORD0149"/>
        <s v="ORD0023"/>
        <s v="ORD0080"/>
        <s v="ORD0048"/>
        <s v="ORD0109"/>
        <s v="ORD0029"/>
        <s v="ORD0104"/>
        <s v="ORD0114"/>
        <s v="ORD0076"/>
        <s v="ORD0016"/>
        <s v="ORD0049"/>
        <s v="ORD0036"/>
        <s v="ORD0091"/>
        <s v="ORD0120"/>
        <s v="ORD0038"/>
        <s v="ORD0073"/>
        <s v="ORD0094"/>
      </sharedItems>
    </cacheField>
    <cacheField name="Order_Date" numFmtId="14">
      <sharedItems containsSemiMixedTypes="0" containsNonDate="0" containsDate="1" containsString="0" minDate="2026-01-06T00:00:00" maxDate="2026-10-14T00:00:00" count="112">
        <d v="2026-01-06T00:00:00"/>
        <d v="2026-01-09T00:00:00"/>
        <d v="2026-01-15T00:00:00"/>
        <d v="2026-01-18T00:00:00"/>
        <d v="2026-01-22T00:00:00"/>
        <d v="2026-01-25T00:00:00"/>
        <d v="2026-01-27T00:00:00"/>
        <d v="2026-01-30T00:00:00"/>
        <d v="2026-02-02T00:00:00"/>
        <d v="2026-02-04T00:00:00"/>
        <d v="2026-02-05T00:00:00"/>
        <d v="2026-02-06T00:00:00"/>
        <d v="2026-02-08T00:00:00"/>
        <d v="2026-02-10T00:00:00"/>
        <d v="2026-02-11T00:00:00"/>
        <d v="2026-02-16T00:00:00"/>
        <d v="2026-02-18T00:00:00"/>
        <d v="2026-02-19T00:00:00"/>
        <d v="2026-02-23T00:00:00"/>
        <d v="2026-02-24T00:00:00"/>
        <d v="2026-02-28T00:00:00"/>
        <d v="2026-03-04T00:00:00"/>
        <d v="2026-03-07T00:00:00"/>
        <d v="2026-03-11T00:00:00"/>
        <d v="2026-03-15T00:00:00"/>
        <d v="2026-03-16T00:00:00"/>
        <d v="2026-03-17T00:00:00"/>
        <d v="2026-03-20T00:00:00"/>
        <d v="2026-03-21T00:00:00"/>
        <d v="2026-03-22T00:00:00"/>
        <d v="2026-03-24T00:00:00"/>
        <d v="2026-03-25T00:00:00"/>
        <d v="2026-03-27T00:00:00"/>
        <d v="2026-03-28T00:00:00"/>
        <d v="2026-03-29T00:00:00"/>
        <d v="2026-04-03T00:00:00"/>
        <d v="2026-04-06T00:00:00"/>
        <d v="2026-04-07T00:00:00"/>
        <d v="2026-04-11T00:00:00"/>
        <d v="2026-04-14T00:00:00"/>
        <d v="2026-04-19T00:00:00"/>
        <d v="2026-04-20T00:00:00"/>
        <d v="2026-04-22T00:00:00"/>
        <d v="2026-04-24T00:00:00"/>
        <d v="2026-04-26T00:00:00"/>
        <d v="2026-04-30T00:00:00"/>
        <d v="2026-05-09T00:00:00"/>
        <d v="2026-05-13T00:00:00"/>
        <d v="2026-05-15T00:00:00"/>
        <d v="2026-05-16T00:00:00"/>
        <d v="2026-05-20T00:00:00"/>
        <d v="2026-05-24T00:00:00"/>
        <d v="2026-05-25T00:00:00"/>
        <d v="2026-06-01T00:00:00"/>
        <d v="2026-06-03T00:00:00"/>
        <d v="2026-06-04T00:00:00"/>
        <d v="2026-06-05T00:00:00"/>
        <d v="2026-06-06T00:00:00"/>
        <d v="2026-06-08T00:00:00"/>
        <d v="2026-06-10T00:00:00"/>
        <d v="2026-06-11T00:00:00"/>
        <d v="2026-06-12T00:00:00"/>
        <d v="2026-06-14T00:00:00"/>
        <d v="2026-06-16T00:00:00"/>
        <d v="2026-06-17T00:00:00"/>
        <d v="2026-06-20T00:00:00"/>
        <d v="2026-06-24T00:00:00"/>
        <d v="2026-06-26T00:00:00"/>
        <d v="2026-07-07T00:00:00"/>
        <d v="2026-07-09T00:00:00"/>
        <d v="2026-07-12T00:00:00"/>
        <d v="2026-07-13T00:00:00"/>
        <d v="2026-07-14T00:00:00"/>
        <d v="2026-07-16T00:00:00"/>
        <d v="2026-07-23T00:00:00"/>
        <d v="2026-07-25T00:00:00"/>
        <d v="2026-07-27T00:00:00"/>
        <d v="2026-07-28T00:00:00"/>
        <d v="2026-07-29T00:00:00"/>
        <d v="2026-07-30T00:00:00"/>
        <d v="2026-07-31T00:00:00"/>
        <d v="2026-08-03T00:00:00"/>
        <d v="2026-08-07T00:00:00"/>
        <d v="2026-08-14T00:00:00"/>
        <d v="2026-08-15T00:00:00"/>
        <d v="2026-08-18T00:00:00"/>
        <d v="2026-08-19T00:00:00"/>
        <d v="2026-08-20T00:00:00"/>
        <d v="2026-08-21T00:00:00"/>
        <d v="2026-08-24T00:00:00"/>
        <d v="2026-08-26T00:00:00"/>
        <d v="2026-08-30T00:00:00"/>
        <d v="2026-09-04T00:00:00"/>
        <d v="2026-09-06T00:00:00"/>
        <d v="2026-09-07T00:00:00"/>
        <d v="2026-09-08T00:00:00"/>
        <d v="2026-09-10T00:00:00"/>
        <d v="2026-09-11T00:00:00"/>
        <d v="2026-09-15T00:00:00"/>
        <d v="2026-09-18T00:00:00"/>
        <d v="2026-09-21T00:00:00"/>
        <d v="2026-09-22T00:00:00"/>
        <d v="2026-09-26T00:00:00"/>
        <d v="2026-09-27T00:00:00"/>
        <d v="2026-09-28T00:00:00"/>
        <d v="2026-10-01T00:00:00"/>
        <d v="2026-10-04T00:00:00"/>
        <d v="2026-10-06T00:00:00"/>
        <d v="2026-10-08T00:00:00"/>
        <d v="2026-10-10T00:00:00"/>
        <d v="2026-10-12T00:00:00"/>
        <d v="2026-10-13T00:00:00"/>
      </sharedItems>
    </cacheField>
    <cacheField name="Product_ID" numFmtId="0">
      <sharedItems count="8">
        <s v="P003"/>
        <s v="P004"/>
        <s v="P002"/>
        <s v="P001"/>
        <s v="P005"/>
        <s v="P006"/>
        <s v="P008"/>
        <s v="P007"/>
      </sharedItems>
    </cacheField>
    <cacheField name="Product_Name" numFmtId="0">
      <sharedItems count="8">
        <s v="Water Bottle"/>
        <s v="Backpack"/>
        <s v="Pen Pack"/>
        <s v="Notebook"/>
        <s v="USB Drive"/>
        <s v="Wireless Mouse"/>
        <s v="Coffee Mug"/>
        <s v="Desk Lamp"/>
      </sharedItems>
    </cacheField>
    <cacheField name="Category" numFmtId="0">
      <sharedItems count="4">
        <s v="Accessories"/>
        <s v="Stationery"/>
        <s v="Electronics"/>
        <s v="Home"/>
      </sharedItems>
    </cacheField>
    <cacheField name="Region" numFmtId="0">
      <sharedItems count="4">
        <s v="North"/>
        <s v="South"/>
        <s v="East"/>
        <s v="West"/>
      </sharedItems>
    </cacheField>
    <cacheField name="Sales_Rep" numFmtId="0">
      <sharedItems count="5">
        <s v="Diya"/>
        <s v="Kabir"/>
        <s v="Rohan"/>
        <s v="Meera"/>
        <s v="Aarav"/>
      </sharedItems>
    </cacheField>
    <cacheField name="Customer_Type" numFmtId="0">
      <sharedItems count="3">
        <s v="Member"/>
        <s v="New"/>
        <s v="Regular"/>
      </sharedItems>
    </cacheField>
    <cacheField name="Quantity" numFmtId="1">
      <sharedItems containsSemiMixedTypes="0" containsString="0" containsNumber="1" containsInteger="1" minValue="1" maxValue="8"/>
    </cacheField>
    <cacheField name="Unit_Price" numFmtId="165">
      <sharedItems containsSemiMixedTypes="0" containsString="0" containsNumber="1" containsInteger="1" minValue="40" maxValue="750"/>
    </cacheField>
    <cacheField name="Discount" numFmtId="9">
      <sharedItems containsSemiMixedTypes="0" containsString="0" containsNumber="1" minValue="0" maxValue="0.15"/>
    </cacheField>
    <cacheField name="Total_Sales" numFmtId="164">
      <sharedItems containsSemiMixedTypes="0" containsString="0" containsNumber="1" minValue="36" maxValue="5700"/>
    </cacheField>
    <cacheField name="Unit_Cost" numFmtId="164">
      <sharedItems containsSemiMixedTypes="0" containsString="0" containsNumber="1" minValue="23.33" maxValue="596.32000000000005"/>
    </cacheField>
    <cacheField name="Profit" numFmtId="164">
      <sharedItems containsSemiMixedTypes="0" containsString="0" containsNumber="1" minValue="5.03" maxValue="2154.1799999999998"/>
    </cacheField>
    <cacheField name="Payment_Method" numFmtId="0">
      <sharedItems count="3">
        <s v="Cash"/>
        <s v="Card"/>
        <s v="UPI"/>
      </sharedItems>
    </cacheField>
    <cacheField name="Total Sales" numFmtId="0">
      <sharedItems containsString="0" containsBlank="1" containsNumber="1" containsInteger="1" minValue="200923" maxValue="200923"/>
    </cacheField>
    <cacheField name="Total profit " numFmtId="0">
      <sharedItems containsString="0" containsBlank="1" containsNumber="1" minValue="52153.170000000013" maxValue="52153.170000000013"/>
    </cacheField>
    <cacheField name="Total orders " numFmtId="0">
      <sharedItems containsString="0" containsBlank="1" containsNumber="1" containsInteger="1" minValue="150" maxValue="150"/>
    </cacheField>
    <cacheField name="Total Quantity" numFmtId="0">
      <sharedItems containsString="0" containsBlank="1" containsNumber="1" containsInteger="1" minValue="670" maxValue="670"/>
    </cacheField>
    <cacheField name="category -wise sales analysi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522457523148" createdVersion="8" refreshedVersion="8" minRefreshableVersion="3" recordCount="150" xr:uid="{FF431917-7E6E-434F-BE10-24579AF2A7C2}">
  <cacheSource type="worksheet">
    <worksheetSource ref="A1:O151" sheet="dataset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6-01-06T00:00:00" maxDate="2026-10-14T00:00:00"/>
    </cacheField>
    <cacheField name="Product_ID" numFmtId="0">
      <sharedItems/>
    </cacheField>
    <cacheField name="Product_Name" numFmtId="0">
      <sharedItems/>
    </cacheField>
    <cacheField name="Category" numFmtId="0">
      <sharedItems count="4">
        <s v="Accessories"/>
        <s v="Stationery"/>
        <s v="Electronics"/>
        <s v="Home"/>
      </sharedItems>
    </cacheField>
    <cacheField name="Region" numFmtId="0">
      <sharedItems/>
    </cacheField>
    <cacheField name="Sales_Rep" numFmtId="0">
      <sharedItems/>
    </cacheField>
    <cacheField name="Customer_Type" numFmtId="0">
      <sharedItems/>
    </cacheField>
    <cacheField name="Quantity" numFmtId="1">
      <sharedItems containsSemiMixedTypes="0" containsString="0" containsNumber="1" containsInteger="1" minValue="1" maxValue="8"/>
    </cacheField>
    <cacheField name="Unit_Price" numFmtId="165">
      <sharedItems containsSemiMixedTypes="0" containsString="0" containsNumber="1" containsInteger="1" minValue="40" maxValue="750"/>
    </cacheField>
    <cacheField name="Discount" numFmtId="9">
      <sharedItems containsSemiMixedTypes="0" containsString="0" containsNumber="1" minValue="0" maxValue="0.15"/>
    </cacheField>
    <cacheField name="Total_Sales" numFmtId="164">
      <sharedItems containsSemiMixedTypes="0" containsString="0" containsNumber="1" minValue="36" maxValue="5700"/>
    </cacheField>
    <cacheField name="Unit_Cost" numFmtId="164">
      <sharedItems containsSemiMixedTypes="0" containsString="0" containsNumber="1" minValue="23.33" maxValue="596.32000000000005"/>
    </cacheField>
    <cacheField name="Profit" numFmtId="164">
      <sharedItems containsSemiMixedTypes="0" containsString="0" containsNumber="1" minValue="5.03" maxValue="2154.1799999999998"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553715046299" createdVersion="8" refreshedVersion="8" minRefreshableVersion="3" recordCount="150" xr:uid="{93BEA81D-D556-4DD5-A961-66795EA1271F}">
  <cacheSource type="worksheet">
    <worksheetSource ref="A1:P151" sheet="dataset"/>
  </cacheSource>
  <cacheFields count="16">
    <cacheField name="Order_ID" numFmtId="0">
      <sharedItems count="150">
        <s v="ORD0065"/>
        <s v="ORD0147"/>
        <s v="ORD0032"/>
        <s v="ORD0141"/>
        <s v="ORD0022"/>
        <s v="ORD0026"/>
        <s v="ORD0081"/>
        <s v="ORD0117"/>
        <s v="ORD0060"/>
        <s v="ORD0099"/>
        <s v="ORD0134"/>
        <s v="ORD0113"/>
        <s v="ORD0056"/>
        <s v="ORD0124"/>
        <s v="ORD0126"/>
        <s v="ORD0035"/>
        <s v="ORD0082"/>
        <s v="ORD0150"/>
        <s v="ORD0095"/>
        <s v="ORD0137"/>
        <s v="ORD0071"/>
        <s v="ORD0030"/>
        <s v="ORD0018"/>
        <s v="ORD0067"/>
        <s v="ORD0058"/>
        <s v="ORD0050"/>
        <s v="ORD0107"/>
        <s v="ORD0066"/>
        <s v="ORD0006"/>
        <s v="ORD0142"/>
        <s v="ORD0037"/>
        <s v="ORD0077"/>
        <s v="ORD0148"/>
        <s v="ORD0014"/>
        <s v="ORD0132"/>
        <s v="ORD0040"/>
        <s v="ORD0004"/>
        <s v="ORD0125"/>
        <s v="ORD0085"/>
        <s v="ORD0012"/>
        <s v="ORD0011"/>
        <s v="ORD0031"/>
        <s v="ORD0010"/>
        <s v="ORD0087"/>
        <s v="ORD0136"/>
        <s v="ORD0009"/>
        <s v="ORD0041"/>
        <s v="ORD0090"/>
        <s v="ORD0093"/>
        <s v="ORD0074"/>
        <s v="ORD0039"/>
        <s v="ORD0101"/>
        <s v="ORD0024"/>
        <s v="ORD0127"/>
        <s v="ORD0079"/>
        <s v="ORD0086"/>
        <s v="ORD0075"/>
        <s v="ORD0059"/>
        <s v="ORD0135"/>
        <s v="ORD0146"/>
        <s v="ORD0103"/>
        <s v="ORD0102"/>
        <s v="ORD0123"/>
        <s v="ORD0013"/>
        <s v="ORD0121"/>
        <s v="ORD0122"/>
        <s v="ORD0097"/>
        <s v="ORD0108"/>
        <s v="ORD0096"/>
        <s v="ORD0110"/>
        <s v="ORD0118"/>
        <s v="ORD0001"/>
        <s v="ORD0019"/>
        <s v="ORD0054"/>
        <s v="ORD0138"/>
        <s v="ORD0053"/>
        <s v="ORD0078"/>
        <s v="ORD0139"/>
        <s v="ORD0144"/>
        <s v="ORD0046"/>
        <s v="ORD0112"/>
        <s v="ORD0084"/>
        <s v="ORD0130"/>
        <s v="ORD0068"/>
        <s v="ORD0089"/>
        <s v="ORD0017"/>
        <s v="ORD0064"/>
        <s v="ORD0088"/>
        <s v="ORD0057"/>
        <s v="ORD0070"/>
        <s v="ORD0129"/>
        <s v="ORD0119"/>
        <s v="ORD0015"/>
        <s v="ORD0002"/>
        <s v="ORD0055"/>
        <s v="ORD0047"/>
        <s v="ORD0020"/>
        <s v="ORD0033"/>
        <s v="ORD0034"/>
        <s v="ORD0100"/>
        <s v="ORD0140"/>
        <s v="ORD0105"/>
        <s v="ORD0062"/>
        <s v="ORD0115"/>
        <s v="ORD0003"/>
        <s v="ORD0043"/>
        <s v="ORD0143"/>
        <s v="ORD0083"/>
        <s v="ORD0128"/>
        <s v="ORD0133"/>
        <s v="ORD0092"/>
        <s v="ORD0072"/>
        <s v="ORD0025"/>
        <s v="ORD0106"/>
        <s v="ORD0028"/>
        <s v="ORD0007"/>
        <s v="ORD0063"/>
        <s v="ORD0145"/>
        <s v="ORD0021"/>
        <s v="ORD0051"/>
        <s v="ORD0111"/>
        <s v="ORD0069"/>
        <s v="ORD0098"/>
        <s v="ORD0005"/>
        <s v="ORD0061"/>
        <s v="ORD0027"/>
        <s v="ORD0052"/>
        <s v="ORD0045"/>
        <s v="ORD0131"/>
        <s v="ORD0116"/>
        <s v="ORD0042"/>
        <s v="ORD0008"/>
        <s v="ORD0044"/>
        <s v="ORD0149"/>
        <s v="ORD0023"/>
        <s v="ORD0080"/>
        <s v="ORD0048"/>
        <s v="ORD0109"/>
        <s v="ORD0029"/>
        <s v="ORD0104"/>
        <s v="ORD0114"/>
        <s v="ORD0076"/>
        <s v="ORD0016"/>
        <s v="ORD0049"/>
        <s v="ORD0036"/>
        <s v="ORD0091"/>
        <s v="ORD0120"/>
        <s v="ORD0038"/>
        <s v="ORD0073"/>
        <s v="ORD0094"/>
      </sharedItems>
    </cacheField>
    <cacheField name="Order_Date" numFmtId="14">
      <sharedItems containsSemiMixedTypes="0" containsNonDate="0" containsDate="1" containsString="0" minDate="2026-01-06T00:00:00" maxDate="2026-10-14T00:00:00"/>
    </cacheField>
    <cacheField name="Product_ID" numFmtId="0">
      <sharedItems/>
    </cacheField>
    <cacheField name="Product_Name" numFmtId="0">
      <sharedItems/>
    </cacheField>
    <cacheField name="Category" numFmtId="0">
      <sharedItems/>
    </cacheField>
    <cacheField name="Region" numFmtId="0">
      <sharedItems/>
    </cacheField>
    <cacheField name="Sales_Rep" numFmtId="0">
      <sharedItems/>
    </cacheField>
    <cacheField name="Customer_Type" numFmtId="0">
      <sharedItems/>
    </cacheField>
    <cacheField name="Quantity" numFmtId="1">
      <sharedItems containsSemiMixedTypes="0" containsString="0" containsNumber="1" containsInteger="1" minValue="1" maxValue="8"/>
    </cacheField>
    <cacheField name="Unit_Price" numFmtId="165">
      <sharedItems containsSemiMixedTypes="0" containsString="0" containsNumber="1" containsInteger="1" minValue="40" maxValue="750"/>
    </cacheField>
    <cacheField name="Discount" numFmtId="9">
      <sharedItems containsSemiMixedTypes="0" containsString="0" containsNumber="1" minValue="0" maxValue="0.15"/>
    </cacheField>
    <cacheField name="Total_Sales" numFmtId="164">
      <sharedItems containsSemiMixedTypes="0" containsString="0" containsNumber="1" minValue="36" maxValue="5700"/>
    </cacheField>
    <cacheField name="Unit_Cost" numFmtId="164">
      <sharedItems containsSemiMixedTypes="0" containsString="0" containsNumber="1" minValue="23.33" maxValue="596.32000000000005"/>
    </cacheField>
    <cacheField name="Profit" numFmtId="164">
      <sharedItems containsSemiMixedTypes="0" containsString="0" containsNumber="1" minValue="5.03" maxValue="2154.1799999999998"/>
    </cacheField>
    <cacheField name="Payment_Method" numFmtId="0">
      <sharedItems/>
    </cacheField>
    <cacheField name="Sales status" numFmtId="0">
      <sharedItems count="2">
        <s v="Low Sales"/>
        <s v="High Sales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x v="0"/>
    <x v="0"/>
    <x v="0"/>
    <x v="0"/>
    <x v="0"/>
    <n v="4"/>
    <n v="180"/>
    <n v="0.05"/>
    <n v="684"/>
    <n v="127.09"/>
    <n v="175.64"/>
    <x v="0"/>
    <n v="200923"/>
    <n v="52153.170000000013"/>
    <n v="150"/>
    <n v="670"/>
    <m/>
  </r>
  <r>
    <x v="1"/>
    <x v="1"/>
    <x v="0"/>
    <x v="0"/>
    <x v="0"/>
    <x v="0"/>
    <x v="1"/>
    <x v="1"/>
    <n v="6"/>
    <n v="180"/>
    <n v="0.15"/>
    <n v="918"/>
    <n v="137.97"/>
    <n v="90.18"/>
    <x v="0"/>
    <m/>
    <m/>
    <m/>
    <m/>
    <m/>
  </r>
  <r>
    <x v="2"/>
    <x v="2"/>
    <x v="1"/>
    <x v="1"/>
    <x v="0"/>
    <x v="1"/>
    <x v="0"/>
    <x v="0"/>
    <n v="5"/>
    <n v="750"/>
    <n v="0"/>
    <n v="3750"/>
    <n v="472.9"/>
    <n v="1385.5"/>
    <x v="1"/>
    <m/>
    <m/>
    <m/>
    <m/>
    <m/>
  </r>
  <r>
    <x v="3"/>
    <x v="3"/>
    <x v="2"/>
    <x v="2"/>
    <x v="1"/>
    <x v="2"/>
    <x v="2"/>
    <x v="2"/>
    <n v="8"/>
    <n v="40"/>
    <n v="0.15"/>
    <n v="272"/>
    <n v="23.33"/>
    <n v="85.36"/>
    <x v="0"/>
    <m/>
    <m/>
    <m/>
    <m/>
    <m/>
  </r>
  <r>
    <x v="4"/>
    <x v="4"/>
    <x v="1"/>
    <x v="1"/>
    <x v="0"/>
    <x v="0"/>
    <x v="1"/>
    <x v="0"/>
    <n v="5"/>
    <n v="750"/>
    <n v="0.1"/>
    <n v="3375"/>
    <n v="458.38"/>
    <n v="1083.0999999999999"/>
    <x v="2"/>
    <m/>
    <m/>
    <m/>
    <m/>
    <m/>
  </r>
  <r>
    <x v="5"/>
    <x v="4"/>
    <x v="3"/>
    <x v="3"/>
    <x v="1"/>
    <x v="2"/>
    <x v="3"/>
    <x v="1"/>
    <n v="1"/>
    <n v="60"/>
    <n v="0.15"/>
    <n v="51"/>
    <n v="36.71"/>
    <n v="14.29"/>
    <x v="0"/>
    <m/>
    <m/>
    <m/>
    <m/>
    <m/>
  </r>
  <r>
    <x v="6"/>
    <x v="5"/>
    <x v="4"/>
    <x v="4"/>
    <x v="2"/>
    <x v="3"/>
    <x v="4"/>
    <x v="2"/>
    <n v="3"/>
    <n v="450"/>
    <n v="0.15"/>
    <n v="1147.5"/>
    <n v="262.89999999999998"/>
    <n v="358.8"/>
    <x v="2"/>
    <m/>
    <m/>
    <m/>
    <m/>
    <m/>
  </r>
  <r>
    <x v="7"/>
    <x v="6"/>
    <x v="3"/>
    <x v="3"/>
    <x v="1"/>
    <x v="2"/>
    <x v="2"/>
    <x v="0"/>
    <n v="3"/>
    <n v="60"/>
    <n v="0.05"/>
    <n v="171"/>
    <n v="38.01"/>
    <n v="56.97"/>
    <x v="1"/>
    <m/>
    <m/>
    <m/>
    <m/>
    <m/>
  </r>
  <r>
    <x v="8"/>
    <x v="7"/>
    <x v="1"/>
    <x v="1"/>
    <x v="0"/>
    <x v="2"/>
    <x v="4"/>
    <x v="2"/>
    <n v="3"/>
    <n v="750"/>
    <n v="0.1"/>
    <n v="2025"/>
    <n v="461.71"/>
    <n v="639.87"/>
    <x v="1"/>
    <m/>
    <m/>
    <m/>
    <m/>
    <m/>
  </r>
  <r>
    <x v="9"/>
    <x v="8"/>
    <x v="2"/>
    <x v="2"/>
    <x v="1"/>
    <x v="0"/>
    <x v="4"/>
    <x v="0"/>
    <n v="2"/>
    <n v="40"/>
    <n v="0.1"/>
    <n v="72"/>
    <n v="24.03"/>
    <n v="23.94"/>
    <x v="1"/>
    <m/>
    <m/>
    <m/>
    <m/>
    <m/>
  </r>
  <r>
    <x v="10"/>
    <x v="9"/>
    <x v="4"/>
    <x v="4"/>
    <x v="2"/>
    <x v="2"/>
    <x v="1"/>
    <x v="1"/>
    <n v="8"/>
    <n v="450"/>
    <n v="0.05"/>
    <n v="3420"/>
    <n v="284.48"/>
    <n v="1144.1600000000001"/>
    <x v="0"/>
    <m/>
    <m/>
    <m/>
    <m/>
    <m/>
  </r>
  <r>
    <x v="11"/>
    <x v="10"/>
    <x v="3"/>
    <x v="3"/>
    <x v="1"/>
    <x v="2"/>
    <x v="3"/>
    <x v="1"/>
    <n v="2"/>
    <n v="60"/>
    <n v="0.1"/>
    <n v="108"/>
    <n v="42.96"/>
    <n v="22.08"/>
    <x v="2"/>
    <m/>
    <m/>
    <m/>
    <m/>
    <m/>
  </r>
  <r>
    <x v="12"/>
    <x v="11"/>
    <x v="5"/>
    <x v="5"/>
    <x v="2"/>
    <x v="3"/>
    <x v="1"/>
    <x v="0"/>
    <n v="7"/>
    <n v="650"/>
    <n v="0.15"/>
    <n v="3867.5"/>
    <n v="498.11"/>
    <n v="380.73"/>
    <x v="2"/>
    <m/>
    <m/>
    <m/>
    <m/>
    <m/>
  </r>
  <r>
    <x v="13"/>
    <x v="11"/>
    <x v="6"/>
    <x v="6"/>
    <x v="3"/>
    <x v="1"/>
    <x v="0"/>
    <x v="0"/>
    <n v="8"/>
    <n v="220"/>
    <n v="0.1"/>
    <n v="1584"/>
    <n v="147.71"/>
    <n v="402.32"/>
    <x v="1"/>
    <m/>
    <m/>
    <m/>
    <m/>
    <m/>
  </r>
  <r>
    <x v="14"/>
    <x v="11"/>
    <x v="3"/>
    <x v="3"/>
    <x v="1"/>
    <x v="1"/>
    <x v="4"/>
    <x v="2"/>
    <n v="8"/>
    <n v="60"/>
    <n v="0.1"/>
    <n v="432"/>
    <n v="35.159999999999997"/>
    <n v="150.72"/>
    <x v="1"/>
    <m/>
    <m/>
    <m/>
    <m/>
    <m/>
  </r>
  <r>
    <x v="15"/>
    <x v="12"/>
    <x v="5"/>
    <x v="5"/>
    <x v="2"/>
    <x v="3"/>
    <x v="3"/>
    <x v="0"/>
    <n v="6"/>
    <n v="650"/>
    <n v="0"/>
    <n v="3900"/>
    <n v="438.95"/>
    <n v="1266.3"/>
    <x v="2"/>
    <m/>
    <m/>
    <m/>
    <m/>
    <m/>
  </r>
  <r>
    <x v="16"/>
    <x v="12"/>
    <x v="2"/>
    <x v="2"/>
    <x v="1"/>
    <x v="3"/>
    <x v="0"/>
    <x v="0"/>
    <n v="8"/>
    <n v="40"/>
    <n v="0"/>
    <n v="320"/>
    <n v="28.37"/>
    <n v="93.04"/>
    <x v="1"/>
    <m/>
    <m/>
    <m/>
    <m/>
    <m/>
  </r>
  <r>
    <x v="17"/>
    <x v="12"/>
    <x v="0"/>
    <x v="0"/>
    <x v="0"/>
    <x v="1"/>
    <x v="1"/>
    <x v="0"/>
    <n v="1"/>
    <n v="180"/>
    <n v="0.1"/>
    <n v="162"/>
    <n v="118.55"/>
    <n v="43.45"/>
    <x v="2"/>
    <m/>
    <m/>
    <m/>
    <m/>
    <m/>
  </r>
  <r>
    <x v="18"/>
    <x v="13"/>
    <x v="2"/>
    <x v="2"/>
    <x v="1"/>
    <x v="0"/>
    <x v="3"/>
    <x v="1"/>
    <n v="6"/>
    <n v="40"/>
    <n v="0"/>
    <n v="240"/>
    <n v="28.41"/>
    <n v="69.540000000000006"/>
    <x v="2"/>
    <m/>
    <m/>
    <m/>
    <m/>
    <m/>
  </r>
  <r>
    <x v="19"/>
    <x v="14"/>
    <x v="6"/>
    <x v="6"/>
    <x v="3"/>
    <x v="1"/>
    <x v="2"/>
    <x v="0"/>
    <n v="7"/>
    <n v="220"/>
    <n v="0.1"/>
    <n v="1386"/>
    <n v="131.9"/>
    <n v="462.7"/>
    <x v="0"/>
    <m/>
    <m/>
    <m/>
    <m/>
    <m/>
  </r>
  <r>
    <x v="20"/>
    <x v="15"/>
    <x v="3"/>
    <x v="3"/>
    <x v="1"/>
    <x v="0"/>
    <x v="0"/>
    <x v="1"/>
    <n v="2"/>
    <n v="60"/>
    <n v="0.1"/>
    <n v="108"/>
    <n v="40.299999999999997"/>
    <n v="27.4"/>
    <x v="2"/>
    <m/>
    <m/>
    <m/>
    <m/>
    <m/>
  </r>
  <r>
    <x v="21"/>
    <x v="15"/>
    <x v="4"/>
    <x v="4"/>
    <x v="2"/>
    <x v="3"/>
    <x v="2"/>
    <x v="1"/>
    <n v="7"/>
    <n v="450"/>
    <n v="0.05"/>
    <n v="2992.5"/>
    <n v="309.74"/>
    <n v="824.32"/>
    <x v="1"/>
    <m/>
    <m/>
    <m/>
    <m/>
    <m/>
  </r>
  <r>
    <x v="22"/>
    <x v="16"/>
    <x v="0"/>
    <x v="0"/>
    <x v="0"/>
    <x v="0"/>
    <x v="4"/>
    <x v="0"/>
    <n v="3"/>
    <n v="180"/>
    <n v="0.05"/>
    <n v="513"/>
    <n v="116.86"/>
    <n v="162.41999999999999"/>
    <x v="2"/>
    <m/>
    <m/>
    <m/>
    <m/>
    <m/>
  </r>
  <r>
    <x v="23"/>
    <x v="17"/>
    <x v="2"/>
    <x v="2"/>
    <x v="1"/>
    <x v="2"/>
    <x v="2"/>
    <x v="0"/>
    <n v="4"/>
    <n v="40"/>
    <n v="0.05"/>
    <n v="152"/>
    <n v="24.45"/>
    <n v="54.2"/>
    <x v="1"/>
    <m/>
    <m/>
    <m/>
    <m/>
    <m/>
  </r>
  <r>
    <x v="24"/>
    <x v="18"/>
    <x v="0"/>
    <x v="0"/>
    <x v="0"/>
    <x v="1"/>
    <x v="0"/>
    <x v="0"/>
    <n v="3"/>
    <n v="180"/>
    <n v="0.1"/>
    <n v="486"/>
    <n v="129.71"/>
    <n v="96.87"/>
    <x v="0"/>
    <m/>
    <m/>
    <m/>
    <m/>
    <m/>
  </r>
  <r>
    <x v="25"/>
    <x v="19"/>
    <x v="7"/>
    <x v="7"/>
    <x v="3"/>
    <x v="1"/>
    <x v="2"/>
    <x v="1"/>
    <n v="1"/>
    <n v="520"/>
    <n v="0.05"/>
    <n v="494"/>
    <n v="313.64999999999998"/>
    <n v="180.35"/>
    <x v="0"/>
    <m/>
    <m/>
    <m/>
    <m/>
    <m/>
  </r>
  <r>
    <x v="26"/>
    <x v="20"/>
    <x v="1"/>
    <x v="1"/>
    <x v="0"/>
    <x v="3"/>
    <x v="4"/>
    <x v="1"/>
    <n v="3"/>
    <n v="750"/>
    <n v="0"/>
    <n v="2250"/>
    <n v="596.32000000000005"/>
    <n v="461.04"/>
    <x v="1"/>
    <m/>
    <m/>
    <m/>
    <m/>
    <m/>
  </r>
  <r>
    <x v="27"/>
    <x v="21"/>
    <x v="0"/>
    <x v="0"/>
    <x v="0"/>
    <x v="0"/>
    <x v="0"/>
    <x v="0"/>
    <n v="2"/>
    <n v="180"/>
    <n v="0.15"/>
    <n v="306"/>
    <n v="133.24"/>
    <n v="39.520000000000003"/>
    <x v="0"/>
    <m/>
    <m/>
    <m/>
    <m/>
    <m/>
  </r>
  <r>
    <x v="28"/>
    <x v="21"/>
    <x v="1"/>
    <x v="1"/>
    <x v="0"/>
    <x v="2"/>
    <x v="0"/>
    <x v="1"/>
    <n v="4"/>
    <n v="750"/>
    <n v="0"/>
    <n v="3000"/>
    <n v="517.52"/>
    <n v="929.92"/>
    <x v="0"/>
    <m/>
    <m/>
    <m/>
    <m/>
    <m/>
  </r>
  <r>
    <x v="29"/>
    <x v="22"/>
    <x v="3"/>
    <x v="3"/>
    <x v="1"/>
    <x v="1"/>
    <x v="2"/>
    <x v="0"/>
    <n v="1"/>
    <n v="60"/>
    <n v="0.1"/>
    <n v="54"/>
    <n v="44.71"/>
    <n v="9.2899999999999991"/>
    <x v="1"/>
    <m/>
    <m/>
    <m/>
    <m/>
    <m/>
  </r>
  <r>
    <x v="30"/>
    <x v="23"/>
    <x v="3"/>
    <x v="3"/>
    <x v="1"/>
    <x v="2"/>
    <x v="2"/>
    <x v="2"/>
    <n v="6"/>
    <n v="60"/>
    <n v="0.05"/>
    <n v="342"/>
    <n v="41.56"/>
    <n v="92.64"/>
    <x v="2"/>
    <m/>
    <m/>
    <m/>
    <m/>
    <m/>
  </r>
  <r>
    <x v="31"/>
    <x v="24"/>
    <x v="0"/>
    <x v="0"/>
    <x v="0"/>
    <x v="0"/>
    <x v="1"/>
    <x v="0"/>
    <n v="6"/>
    <n v="180"/>
    <n v="0.15"/>
    <n v="918"/>
    <n v="113.78"/>
    <n v="235.32"/>
    <x v="1"/>
    <m/>
    <m/>
    <m/>
    <m/>
    <m/>
  </r>
  <r>
    <x v="32"/>
    <x v="24"/>
    <x v="6"/>
    <x v="6"/>
    <x v="3"/>
    <x v="0"/>
    <x v="0"/>
    <x v="0"/>
    <n v="7"/>
    <n v="220"/>
    <n v="0"/>
    <n v="1540"/>
    <n v="140.29"/>
    <n v="557.97"/>
    <x v="0"/>
    <m/>
    <m/>
    <m/>
    <m/>
    <m/>
  </r>
  <r>
    <x v="33"/>
    <x v="25"/>
    <x v="7"/>
    <x v="7"/>
    <x v="3"/>
    <x v="2"/>
    <x v="4"/>
    <x v="1"/>
    <n v="2"/>
    <n v="520"/>
    <n v="0.1"/>
    <n v="936"/>
    <n v="413.85"/>
    <n v="108.3"/>
    <x v="0"/>
    <m/>
    <m/>
    <m/>
    <m/>
    <m/>
  </r>
  <r>
    <x v="34"/>
    <x v="26"/>
    <x v="7"/>
    <x v="7"/>
    <x v="3"/>
    <x v="3"/>
    <x v="1"/>
    <x v="1"/>
    <n v="7"/>
    <n v="520"/>
    <n v="0.05"/>
    <n v="3458"/>
    <n v="354.94"/>
    <n v="973.42"/>
    <x v="0"/>
    <m/>
    <m/>
    <m/>
    <m/>
    <m/>
  </r>
  <r>
    <x v="35"/>
    <x v="27"/>
    <x v="6"/>
    <x v="6"/>
    <x v="3"/>
    <x v="1"/>
    <x v="1"/>
    <x v="1"/>
    <n v="8"/>
    <n v="220"/>
    <n v="0.1"/>
    <n v="1584"/>
    <n v="135.84"/>
    <n v="497.28"/>
    <x v="1"/>
    <m/>
    <m/>
    <m/>
    <m/>
    <m/>
  </r>
  <r>
    <x v="36"/>
    <x v="28"/>
    <x v="2"/>
    <x v="2"/>
    <x v="1"/>
    <x v="3"/>
    <x v="4"/>
    <x v="2"/>
    <n v="6"/>
    <n v="40"/>
    <n v="0"/>
    <n v="240"/>
    <n v="29.41"/>
    <n v="63.54"/>
    <x v="2"/>
    <m/>
    <m/>
    <m/>
    <m/>
    <m/>
  </r>
  <r>
    <x v="37"/>
    <x v="29"/>
    <x v="5"/>
    <x v="5"/>
    <x v="2"/>
    <x v="2"/>
    <x v="2"/>
    <x v="2"/>
    <n v="4"/>
    <n v="650"/>
    <n v="0"/>
    <n v="2600"/>
    <n v="487.14"/>
    <n v="651.44000000000005"/>
    <x v="0"/>
    <m/>
    <m/>
    <m/>
    <m/>
    <m/>
  </r>
  <r>
    <x v="38"/>
    <x v="30"/>
    <x v="5"/>
    <x v="5"/>
    <x v="2"/>
    <x v="1"/>
    <x v="0"/>
    <x v="2"/>
    <n v="6"/>
    <n v="650"/>
    <n v="0.05"/>
    <n v="3705"/>
    <n v="490.51"/>
    <n v="761.94"/>
    <x v="2"/>
    <m/>
    <m/>
    <m/>
    <m/>
    <m/>
  </r>
  <r>
    <x v="39"/>
    <x v="31"/>
    <x v="7"/>
    <x v="7"/>
    <x v="3"/>
    <x v="2"/>
    <x v="3"/>
    <x v="0"/>
    <n v="4"/>
    <n v="520"/>
    <n v="0.05"/>
    <n v="1976"/>
    <n v="359.04"/>
    <n v="539.84"/>
    <x v="2"/>
    <m/>
    <m/>
    <m/>
    <m/>
    <m/>
  </r>
  <r>
    <x v="40"/>
    <x v="31"/>
    <x v="3"/>
    <x v="3"/>
    <x v="1"/>
    <x v="3"/>
    <x v="1"/>
    <x v="1"/>
    <n v="4"/>
    <n v="60"/>
    <n v="0.15"/>
    <n v="204"/>
    <n v="47.42"/>
    <n v="14.32"/>
    <x v="1"/>
    <m/>
    <m/>
    <m/>
    <m/>
    <m/>
  </r>
  <r>
    <x v="41"/>
    <x v="32"/>
    <x v="7"/>
    <x v="7"/>
    <x v="3"/>
    <x v="0"/>
    <x v="1"/>
    <x v="1"/>
    <n v="8"/>
    <n v="520"/>
    <n v="0"/>
    <n v="4160"/>
    <n v="377.51"/>
    <n v="1139.92"/>
    <x v="1"/>
    <m/>
    <m/>
    <m/>
    <m/>
    <m/>
  </r>
  <r>
    <x v="42"/>
    <x v="33"/>
    <x v="4"/>
    <x v="4"/>
    <x v="2"/>
    <x v="0"/>
    <x v="3"/>
    <x v="1"/>
    <n v="4"/>
    <n v="450"/>
    <n v="0"/>
    <n v="1800"/>
    <n v="254.88"/>
    <n v="780.48"/>
    <x v="0"/>
    <m/>
    <m/>
    <m/>
    <m/>
    <m/>
  </r>
  <r>
    <x v="43"/>
    <x v="33"/>
    <x v="1"/>
    <x v="1"/>
    <x v="0"/>
    <x v="0"/>
    <x v="4"/>
    <x v="2"/>
    <n v="3"/>
    <n v="750"/>
    <n v="0.1"/>
    <n v="2025"/>
    <n v="526.37"/>
    <n v="445.89"/>
    <x v="1"/>
    <m/>
    <m/>
    <m/>
    <m/>
    <m/>
  </r>
  <r>
    <x v="44"/>
    <x v="34"/>
    <x v="6"/>
    <x v="6"/>
    <x v="3"/>
    <x v="0"/>
    <x v="3"/>
    <x v="0"/>
    <n v="2"/>
    <n v="220"/>
    <n v="0.15"/>
    <n v="374"/>
    <n v="125.2"/>
    <n v="123.6"/>
    <x v="2"/>
    <m/>
    <m/>
    <m/>
    <m/>
    <m/>
  </r>
  <r>
    <x v="45"/>
    <x v="35"/>
    <x v="1"/>
    <x v="1"/>
    <x v="0"/>
    <x v="1"/>
    <x v="1"/>
    <x v="1"/>
    <n v="6"/>
    <n v="750"/>
    <n v="0"/>
    <n v="4500"/>
    <n v="538.05999999999995"/>
    <n v="1271.6400000000001"/>
    <x v="1"/>
    <m/>
    <m/>
    <m/>
    <m/>
    <m/>
  </r>
  <r>
    <x v="46"/>
    <x v="36"/>
    <x v="3"/>
    <x v="3"/>
    <x v="1"/>
    <x v="0"/>
    <x v="1"/>
    <x v="1"/>
    <n v="2"/>
    <n v="60"/>
    <n v="0"/>
    <n v="120"/>
    <n v="40.68"/>
    <n v="38.64"/>
    <x v="2"/>
    <m/>
    <m/>
    <m/>
    <m/>
    <m/>
  </r>
  <r>
    <x v="47"/>
    <x v="36"/>
    <x v="6"/>
    <x v="6"/>
    <x v="3"/>
    <x v="2"/>
    <x v="4"/>
    <x v="1"/>
    <n v="8"/>
    <n v="220"/>
    <n v="0.05"/>
    <n v="1672"/>
    <n v="160.56"/>
    <n v="387.52"/>
    <x v="2"/>
    <m/>
    <m/>
    <m/>
    <m/>
    <m/>
  </r>
  <r>
    <x v="48"/>
    <x v="36"/>
    <x v="6"/>
    <x v="6"/>
    <x v="3"/>
    <x v="0"/>
    <x v="1"/>
    <x v="2"/>
    <n v="8"/>
    <n v="220"/>
    <n v="0.1"/>
    <n v="1584"/>
    <n v="152.11000000000001"/>
    <n v="367.12"/>
    <x v="0"/>
    <m/>
    <m/>
    <m/>
    <m/>
    <m/>
  </r>
  <r>
    <x v="49"/>
    <x v="36"/>
    <x v="4"/>
    <x v="4"/>
    <x v="2"/>
    <x v="3"/>
    <x v="3"/>
    <x v="0"/>
    <n v="6"/>
    <n v="450"/>
    <n v="0.15"/>
    <n v="2295"/>
    <n v="334.17"/>
    <n v="289.98"/>
    <x v="0"/>
    <m/>
    <m/>
    <m/>
    <m/>
    <m/>
  </r>
  <r>
    <x v="50"/>
    <x v="37"/>
    <x v="2"/>
    <x v="2"/>
    <x v="1"/>
    <x v="2"/>
    <x v="2"/>
    <x v="0"/>
    <n v="2"/>
    <n v="40"/>
    <n v="0.15"/>
    <n v="68"/>
    <n v="23.52"/>
    <n v="20.96"/>
    <x v="1"/>
    <m/>
    <m/>
    <m/>
    <m/>
    <m/>
  </r>
  <r>
    <x v="51"/>
    <x v="38"/>
    <x v="4"/>
    <x v="4"/>
    <x v="2"/>
    <x v="1"/>
    <x v="3"/>
    <x v="1"/>
    <n v="7"/>
    <n v="450"/>
    <n v="0.15"/>
    <n v="2677.5"/>
    <n v="347.83"/>
    <n v="242.69"/>
    <x v="2"/>
    <m/>
    <m/>
    <m/>
    <m/>
    <m/>
  </r>
  <r>
    <x v="52"/>
    <x v="39"/>
    <x v="1"/>
    <x v="1"/>
    <x v="0"/>
    <x v="1"/>
    <x v="3"/>
    <x v="2"/>
    <n v="2"/>
    <n v="750"/>
    <n v="0.1"/>
    <n v="1350"/>
    <n v="479.1"/>
    <n v="391.8"/>
    <x v="0"/>
    <m/>
    <m/>
    <m/>
    <m/>
    <m/>
  </r>
  <r>
    <x v="53"/>
    <x v="39"/>
    <x v="1"/>
    <x v="1"/>
    <x v="0"/>
    <x v="2"/>
    <x v="1"/>
    <x v="2"/>
    <n v="8"/>
    <n v="750"/>
    <n v="0.05"/>
    <n v="5700"/>
    <n v="589.07000000000005"/>
    <n v="987.44"/>
    <x v="0"/>
    <m/>
    <m/>
    <m/>
    <m/>
    <m/>
  </r>
  <r>
    <x v="54"/>
    <x v="40"/>
    <x v="3"/>
    <x v="3"/>
    <x v="1"/>
    <x v="0"/>
    <x v="4"/>
    <x v="2"/>
    <n v="5"/>
    <n v="60"/>
    <n v="0.1"/>
    <n v="270"/>
    <n v="44.91"/>
    <n v="45.45"/>
    <x v="0"/>
    <m/>
    <m/>
    <m/>
    <m/>
    <m/>
  </r>
  <r>
    <x v="55"/>
    <x v="41"/>
    <x v="3"/>
    <x v="3"/>
    <x v="1"/>
    <x v="3"/>
    <x v="4"/>
    <x v="2"/>
    <n v="3"/>
    <n v="60"/>
    <n v="0.1"/>
    <n v="162"/>
    <n v="40.57"/>
    <n v="40.29"/>
    <x v="2"/>
    <m/>
    <m/>
    <m/>
    <m/>
    <m/>
  </r>
  <r>
    <x v="56"/>
    <x v="41"/>
    <x v="0"/>
    <x v="0"/>
    <x v="0"/>
    <x v="1"/>
    <x v="4"/>
    <x v="0"/>
    <n v="1"/>
    <n v="180"/>
    <n v="0.05"/>
    <n v="171"/>
    <n v="106.44"/>
    <n v="64.56"/>
    <x v="0"/>
    <m/>
    <m/>
    <m/>
    <m/>
    <m/>
  </r>
  <r>
    <x v="57"/>
    <x v="42"/>
    <x v="0"/>
    <x v="0"/>
    <x v="0"/>
    <x v="1"/>
    <x v="2"/>
    <x v="1"/>
    <n v="8"/>
    <n v="180"/>
    <n v="0.15"/>
    <n v="1224"/>
    <n v="100.45"/>
    <n v="420.4"/>
    <x v="0"/>
    <m/>
    <m/>
    <m/>
    <m/>
    <m/>
  </r>
  <r>
    <x v="58"/>
    <x v="43"/>
    <x v="7"/>
    <x v="7"/>
    <x v="3"/>
    <x v="0"/>
    <x v="2"/>
    <x v="2"/>
    <n v="6"/>
    <n v="520"/>
    <n v="0.15"/>
    <n v="2652"/>
    <n v="391.62"/>
    <n v="302.27999999999997"/>
    <x v="1"/>
    <m/>
    <m/>
    <m/>
    <m/>
    <m/>
  </r>
  <r>
    <x v="59"/>
    <x v="44"/>
    <x v="2"/>
    <x v="2"/>
    <x v="1"/>
    <x v="2"/>
    <x v="4"/>
    <x v="1"/>
    <n v="1"/>
    <n v="40"/>
    <n v="0.1"/>
    <n v="36"/>
    <n v="26.8"/>
    <n v="9.1999999999999993"/>
    <x v="0"/>
    <m/>
    <m/>
    <m/>
    <m/>
    <m/>
  </r>
  <r>
    <x v="60"/>
    <x v="45"/>
    <x v="3"/>
    <x v="3"/>
    <x v="1"/>
    <x v="3"/>
    <x v="1"/>
    <x v="0"/>
    <n v="5"/>
    <n v="60"/>
    <n v="0.05"/>
    <n v="285"/>
    <n v="45.96"/>
    <n v="55.2"/>
    <x v="0"/>
    <m/>
    <m/>
    <m/>
    <m/>
    <m/>
  </r>
  <r>
    <x v="61"/>
    <x v="46"/>
    <x v="1"/>
    <x v="1"/>
    <x v="0"/>
    <x v="1"/>
    <x v="2"/>
    <x v="1"/>
    <n v="1"/>
    <n v="750"/>
    <n v="0.1"/>
    <n v="675"/>
    <n v="482.64"/>
    <n v="192.36"/>
    <x v="1"/>
    <m/>
    <m/>
    <m/>
    <m/>
    <m/>
  </r>
  <r>
    <x v="62"/>
    <x v="47"/>
    <x v="1"/>
    <x v="1"/>
    <x v="0"/>
    <x v="3"/>
    <x v="2"/>
    <x v="1"/>
    <n v="1"/>
    <n v="750"/>
    <n v="0"/>
    <n v="750"/>
    <n v="493.6"/>
    <n v="256.39999999999998"/>
    <x v="2"/>
    <m/>
    <m/>
    <m/>
    <m/>
    <m/>
  </r>
  <r>
    <x v="63"/>
    <x v="47"/>
    <x v="3"/>
    <x v="3"/>
    <x v="1"/>
    <x v="3"/>
    <x v="3"/>
    <x v="2"/>
    <n v="5"/>
    <n v="60"/>
    <n v="0"/>
    <n v="300"/>
    <n v="42.88"/>
    <n v="85.6"/>
    <x v="0"/>
    <m/>
    <m/>
    <m/>
    <m/>
    <m/>
  </r>
  <r>
    <x v="64"/>
    <x v="48"/>
    <x v="2"/>
    <x v="2"/>
    <x v="1"/>
    <x v="1"/>
    <x v="0"/>
    <x v="0"/>
    <n v="5"/>
    <n v="40"/>
    <n v="0"/>
    <n v="200"/>
    <n v="29.44"/>
    <n v="52.8"/>
    <x v="0"/>
    <m/>
    <m/>
    <m/>
    <m/>
    <m/>
  </r>
  <r>
    <x v="65"/>
    <x v="49"/>
    <x v="0"/>
    <x v="0"/>
    <x v="0"/>
    <x v="0"/>
    <x v="3"/>
    <x v="0"/>
    <n v="3"/>
    <n v="180"/>
    <n v="0"/>
    <n v="540"/>
    <n v="122.02"/>
    <n v="173.94"/>
    <x v="1"/>
    <m/>
    <m/>
    <m/>
    <m/>
    <m/>
  </r>
  <r>
    <x v="66"/>
    <x v="49"/>
    <x v="6"/>
    <x v="6"/>
    <x v="3"/>
    <x v="0"/>
    <x v="2"/>
    <x v="0"/>
    <n v="7"/>
    <n v="220"/>
    <n v="0.05"/>
    <n v="1463"/>
    <n v="132.19999999999999"/>
    <n v="537.6"/>
    <x v="0"/>
    <m/>
    <m/>
    <m/>
    <m/>
    <m/>
  </r>
  <r>
    <x v="67"/>
    <x v="50"/>
    <x v="5"/>
    <x v="5"/>
    <x v="2"/>
    <x v="2"/>
    <x v="4"/>
    <x v="0"/>
    <n v="7"/>
    <n v="650"/>
    <n v="0.15"/>
    <n v="3867.5"/>
    <n v="371.16"/>
    <n v="1269.3800000000001"/>
    <x v="1"/>
    <m/>
    <m/>
    <m/>
    <m/>
    <m/>
  </r>
  <r>
    <x v="68"/>
    <x v="51"/>
    <x v="4"/>
    <x v="4"/>
    <x v="2"/>
    <x v="1"/>
    <x v="1"/>
    <x v="0"/>
    <n v="4"/>
    <n v="450"/>
    <n v="0.15"/>
    <n v="1530"/>
    <n v="334.28"/>
    <n v="192.88"/>
    <x v="1"/>
    <m/>
    <m/>
    <m/>
    <m/>
    <m/>
  </r>
  <r>
    <x v="69"/>
    <x v="52"/>
    <x v="7"/>
    <x v="7"/>
    <x v="3"/>
    <x v="3"/>
    <x v="3"/>
    <x v="2"/>
    <n v="8"/>
    <n v="520"/>
    <n v="0.15"/>
    <n v="3536"/>
    <n v="400.93"/>
    <n v="328.56"/>
    <x v="1"/>
    <m/>
    <m/>
    <m/>
    <m/>
    <m/>
  </r>
  <r>
    <x v="70"/>
    <x v="52"/>
    <x v="1"/>
    <x v="1"/>
    <x v="0"/>
    <x v="1"/>
    <x v="4"/>
    <x v="0"/>
    <n v="2"/>
    <n v="750"/>
    <n v="0.15"/>
    <n v="1275"/>
    <n v="569.85"/>
    <n v="135.30000000000001"/>
    <x v="0"/>
    <m/>
    <m/>
    <m/>
    <m/>
    <m/>
  </r>
  <r>
    <x v="71"/>
    <x v="52"/>
    <x v="0"/>
    <x v="0"/>
    <x v="0"/>
    <x v="0"/>
    <x v="3"/>
    <x v="0"/>
    <n v="7"/>
    <n v="180"/>
    <n v="0.15"/>
    <n v="1071"/>
    <n v="120.56"/>
    <n v="227.08"/>
    <x v="0"/>
    <m/>
    <m/>
    <m/>
    <m/>
    <m/>
  </r>
  <r>
    <x v="72"/>
    <x v="52"/>
    <x v="0"/>
    <x v="0"/>
    <x v="0"/>
    <x v="1"/>
    <x v="3"/>
    <x v="1"/>
    <n v="2"/>
    <n v="180"/>
    <n v="0"/>
    <n v="360"/>
    <n v="104.69"/>
    <n v="150.62"/>
    <x v="0"/>
    <m/>
    <m/>
    <m/>
    <m/>
    <m/>
  </r>
  <r>
    <x v="73"/>
    <x v="53"/>
    <x v="7"/>
    <x v="7"/>
    <x v="3"/>
    <x v="2"/>
    <x v="0"/>
    <x v="1"/>
    <n v="1"/>
    <n v="520"/>
    <n v="0"/>
    <n v="520"/>
    <n v="360.94"/>
    <n v="159.06"/>
    <x v="0"/>
    <m/>
    <m/>
    <m/>
    <m/>
    <m/>
  </r>
  <r>
    <x v="74"/>
    <x v="54"/>
    <x v="3"/>
    <x v="3"/>
    <x v="1"/>
    <x v="1"/>
    <x v="2"/>
    <x v="0"/>
    <n v="6"/>
    <n v="60"/>
    <n v="0.1"/>
    <n v="324"/>
    <n v="43.16"/>
    <n v="65.040000000000006"/>
    <x v="0"/>
    <m/>
    <m/>
    <m/>
    <m/>
    <m/>
  </r>
  <r>
    <x v="75"/>
    <x v="55"/>
    <x v="3"/>
    <x v="3"/>
    <x v="1"/>
    <x v="0"/>
    <x v="0"/>
    <x v="1"/>
    <n v="6"/>
    <n v="60"/>
    <n v="0.15"/>
    <n v="306"/>
    <n v="44.05"/>
    <n v="41.7"/>
    <x v="0"/>
    <m/>
    <m/>
    <m/>
    <m/>
    <m/>
  </r>
  <r>
    <x v="76"/>
    <x v="56"/>
    <x v="2"/>
    <x v="2"/>
    <x v="1"/>
    <x v="2"/>
    <x v="0"/>
    <x v="0"/>
    <n v="1"/>
    <n v="40"/>
    <n v="0.05"/>
    <n v="38"/>
    <n v="25.28"/>
    <n v="12.72"/>
    <x v="2"/>
    <m/>
    <m/>
    <m/>
    <m/>
    <m/>
  </r>
  <r>
    <x v="77"/>
    <x v="56"/>
    <x v="0"/>
    <x v="0"/>
    <x v="0"/>
    <x v="0"/>
    <x v="4"/>
    <x v="2"/>
    <n v="1"/>
    <n v="180"/>
    <n v="0.15"/>
    <n v="153"/>
    <n v="119.1"/>
    <n v="33.9"/>
    <x v="0"/>
    <m/>
    <m/>
    <m/>
    <m/>
    <m/>
  </r>
  <r>
    <x v="78"/>
    <x v="57"/>
    <x v="4"/>
    <x v="4"/>
    <x v="2"/>
    <x v="3"/>
    <x v="3"/>
    <x v="2"/>
    <n v="8"/>
    <n v="450"/>
    <n v="0.15"/>
    <n v="3060"/>
    <n v="353.34"/>
    <n v="233.28"/>
    <x v="0"/>
    <m/>
    <m/>
    <m/>
    <m/>
    <m/>
  </r>
  <r>
    <x v="79"/>
    <x v="58"/>
    <x v="3"/>
    <x v="3"/>
    <x v="1"/>
    <x v="2"/>
    <x v="1"/>
    <x v="2"/>
    <n v="4"/>
    <n v="60"/>
    <n v="0"/>
    <n v="240"/>
    <n v="38.85"/>
    <n v="84.6"/>
    <x v="2"/>
    <m/>
    <m/>
    <m/>
    <m/>
    <m/>
  </r>
  <r>
    <x v="80"/>
    <x v="59"/>
    <x v="7"/>
    <x v="7"/>
    <x v="3"/>
    <x v="1"/>
    <x v="1"/>
    <x v="0"/>
    <n v="6"/>
    <n v="520"/>
    <n v="0.05"/>
    <n v="2964"/>
    <n v="333.09"/>
    <n v="965.46"/>
    <x v="2"/>
    <m/>
    <m/>
    <m/>
    <m/>
    <m/>
  </r>
  <r>
    <x v="81"/>
    <x v="59"/>
    <x v="7"/>
    <x v="7"/>
    <x v="3"/>
    <x v="1"/>
    <x v="1"/>
    <x v="2"/>
    <n v="5"/>
    <n v="520"/>
    <n v="0.15"/>
    <n v="2210"/>
    <n v="400.58"/>
    <n v="207.1"/>
    <x v="1"/>
    <m/>
    <m/>
    <m/>
    <m/>
    <m/>
  </r>
  <r>
    <x v="82"/>
    <x v="60"/>
    <x v="4"/>
    <x v="4"/>
    <x v="2"/>
    <x v="3"/>
    <x v="2"/>
    <x v="2"/>
    <n v="7"/>
    <n v="450"/>
    <n v="0.05"/>
    <n v="2992.5"/>
    <n v="285.64"/>
    <n v="993.02"/>
    <x v="1"/>
    <m/>
    <m/>
    <m/>
    <m/>
    <m/>
  </r>
  <r>
    <x v="83"/>
    <x v="61"/>
    <x v="3"/>
    <x v="3"/>
    <x v="1"/>
    <x v="1"/>
    <x v="3"/>
    <x v="2"/>
    <n v="7"/>
    <n v="60"/>
    <n v="0.1"/>
    <n v="378"/>
    <n v="45.1"/>
    <n v="62.3"/>
    <x v="1"/>
    <m/>
    <m/>
    <m/>
    <m/>
    <m/>
  </r>
  <r>
    <x v="84"/>
    <x v="62"/>
    <x v="3"/>
    <x v="3"/>
    <x v="1"/>
    <x v="2"/>
    <x v="0"/>
    <x v="2"/>
    <n v="4"/>
    <n v="60"/>
    <n v="0.1"/>
    <n v="216"/>
    <n v="36.42"/>
    <n v="70.319999999999993"/>
    <x v="1"/>
    <m/>
    <m/>
    <m/>
    <m/>
    <m/>
  </r>
  <r>
    <x v="85"/>
    <x v="63"/>
    <x v="0"/>
    <x v="0"/>
    <x v="0"/>
    <x v="2"/>
    <x v="1"/>
    <x v="0"/>
    <n v="1"/>
    <n v="180"/>
    <n v="0.1"/>
    <n v="162"/>
    <n v="127.97"/>
    <n v="34.03"/>
    <x v="2"/>
    <m/>
    <m/>
    <m/>
    <m/>
    <m/>
  </r>
  <r>
    <x v="86"/>
    <x v="64"/>
    <x v="0"/>
    <x v="0"/>
    <x v="0"/>
    <x v="1"/>
    <x v="0"/>
    <x v="2"/>
    <n v="1"/>
    <n v="180"/>
    <n v="0.1"/>
    <n v="162"/>
    <n v="130.16"/>
    <n v="31.84"/>
    <x v="2"/>
    <m/>
    <m/>
    <m/>
    <m/>
    <m/>
  </r>
  <r>
    <x v="87"/>
    <x v="64"/>
    <x v="4"/>
    <x v="4"/>
    <x v="2"/>
    <x v="2"/>
    <x v="3"/>
    <x v="1"/>
    <n v="7"/>
    <n v="450"/>
    <n v="0.1"/>
    <n v="2835"/>
    <n v="271.87"/>
    <n v="931.91"/>
    <x v="1"/>
    <m/>
    <m/>
    <m/>
    <m/>
    <m/>
  </r>
  <r>
    <x v="88"/>
    <x v="65"/>
    <x v="6"/>
    <x v="6"/>
    <x v="3"/>
    <x v="3"/>
    <x v="1"/>
    <x v="2"/>
    <n v="2"/>
    <n v="220"/>
    <n v="0.05"/>
    <n v="418"/>
    <n v="169.98"/>
    <n v="78.040000000000006"/>
    <x v="1"/>
    <m/>
    <m/>
    <m/>
    <m/>
    <m/>
  </r>
  <r>
    <x v="89"/>
    <x v="66"/>
    <x v="4"/>
    <x v="4"/>
    <x v="2"/>
    <x v="2"/>
    <x v="1"/>
    <x v="1"/>
    <n v="3"/>
    <n v="450"/>
    <n v="0.1"/>
    <n v="1215"/>
    <n v="289.25"/>
    <n v="347.25"/>
    <x v="2"/>
    <m/>
    <m/>
    <m/>
    <m/>
    <m/>
  </r>
  <r>
    <x v="90"/>
    <x v="66"/>
    <x v="5"/>
    <x v="5"/>
    <x v="2"/>
    <x v="3"/>
    <x v="1"/>
    <x v="2"/>
    <n v="4"/>
    <n v="650"/>
    <n v="0.05"/>
    <n v="2470"/>
    <n v="499.25"/>
    <n v="473"/>
    <x v="1"/>
    <m/>
    <m/>
    <m/>
    <m/>
    <m/>
  </r>
  <r>
    <x v="91"/>
    <x v="67"/>
    <x v="6"/>
    <x v="6"/>
    <x v="3"/>
    <x v="2"/>
    <x v="1"/>
    <x v="2"/>
    <n v="7"/>
    <n v="220"/>
    <n v="0.15"/>
    <n v="1309"/>
    <n v="124.39"/>
    <n v="438.27"/>
    <x v="0"/>
    <m/>
    <m/>
    <m/>
    <m/>
    <m/>
  </r>
  <r>
    <x v="92"/>
    <x v="68"/>
    <x v="6"/>
    <x v="6"/>
    <x v="3"/>
    <x v="1"/>
    <x v="2"/>
    <x v="1"/>
    <n v="1"/>
    <n v="220"/>
    <n v="0.05"/>
    <n v="209"/>
    <n v="164.74"/>
    <n v="44.26"/>
    <x v="2"/>
    <m/>
    <m/>
    <m/>
    <m/>
    <m/>
  </r>
  <r>
    <x v="93"/>
    <x v="69"/>
    <x v="1"/>
    <x v="1"/>
    <x v="0"/>
    <x v="2"/>
    <x v="4"/>
    <x v="2"/>
    <n v="1"/>
    <n v="750"/>
    <n v="0"/>
    <n v="750"/>
    <n v="587.4"/>
    <n v="162.6"/>
    <x v="0"/>
    <m/>
    <m/>
    <m/>
    <m/>
    <m/>
  </r>
  <r>
    <x v="94"/>
    <x v="69"/>
    <x v="6"/>
    <x v="6"/>
    <x v="3"/>
    <x v="0"/>
    <x v="3"/>
    <x v="1"/>
    <n v="1"/>
    <n v="220"/>
    <n v="0"/>
    <n v="220"/>
    <n v="171.4"/>
    <n v="48.6"/>
    <x v="2"/>
    <m/>
    <m/>
    <m/>
    <m/>
    <m/>
  </r>
  <r>
    <x v="95"/>
    <x v="70"/>
    <x v="0"/>
    <x v="0"/>
    <x v="0"/>
    <x v="0"/>
    <x v="0"/>
    <x v="0"/>
    <n v="5"/>
    <n v="180"/>
    <n v="0"/>
    <n v="900"/>
    <n v="128.11000000000001"/>
    <n v="259.45"/>
    <x v="1"/>
    <m/>
    <m/>
    <m/>
    <m/>
    <m/>
  </r>
  <r>
    <x v="96"/>
    <x v="71"/>
    <x v="0"/>
    <x v="0"/>
    <x v="0"/>
    <x v="3"/>
    <x v="2"/>
    <x v="0"/>
    <n v="3"/>
    <n v="180"/>
    <n v="0.05"/>
    <n v="513"/>
    <n v="108.07"/>
    <n v="188.79"/>
    <x v="1"/>
    <m/>
    <m/>
    <m/>
    <m/>
    <m/>
  </r>
  <r>
    <x v="97"/>
    <x v="72"/>
    <x v="1"/>
    <x v="1"/>
    <x v="0"/>
    <x v="2"/>
    <x v="3"/>
    <x v="1"/>
    <n v="4"/>
    <n v="750"/>
    <n v="0.1"/>
    <n v="2700"/>
    <n v="441.97"/>
    <n v="932.12"/>
    <x v="2"/>
    <m/>
    <m/>
    <m/>
    <m/>
    <m/>
  </r>
  <r>
    <x v="98"/>
    <x v="73"/>
    <x v="6"/>
    <x v="6"/>
    <x v="3"/>
    <x v="3"/>
    <x v="0"/>
    <x v="2"/>
    <n v="5"/>
    <n v="220"/>
    <n v="0.05"/>
    <n v="1045"/>
    <n v="155.19"/>
    <n v="269.05"/>
    <x v="0"/>
    <m/>
    <m/>
    <m/>
    <m/>
    <m/>
  </r>
  <r>
    <x v="99"/>
    <x v="74"/>
    <x v="1"/>
    <x v="1"/>
    <x v="0"/>
    <x v="0"/>
    <x v="3"/>
    <x v="2"/>
    <n v="7"/>
    <n v="750"/>
    <n v="0.15"/>
    <n v="4462.5"/>
    <n v="461.44"/>
    <n v="1232.42"/>
    <x v="0"/>
    <m/>
    <m/>
    <m/>
    <m/>
    <m/>
  </r>
  <r>
    <x v="100"/>
    <x v="74"/>
    <x v="1"/>
    <x v="1"/>
    <x v="0"/>
    <x v="0"/>
    <x v="4"/>
    <x v="1"/>
    <n v="7"/>
    <n v="750"/>
    <n v="0"/>
    <n v="5250"/>
    <n v="442.26"/>
    <n v="2154.1799999999998"/>
    <x v="0"/>
    <m/>
    <m/>
    <m/>
    <m/>
    <m/>
  </r>
  <r>
    <x v="101"/>
    <x v="74"/>
    <x v="6"/>
    <x v="6"/>
    <x v="3"/>
    <x v="1"/>
    <x v="3"/>
    <x v="2"/>
    <n v="3"/>
    <n v="220"/>
    <n v="0.05"/>
    <n v="627"/>
    <n v="141.72999999999999"/>
    <n v="201.81"/>
    <x v="0"/>
    <m/>
    <m/>
    <m/>
    <m/>
    <m/>
  </r>
  <r>
    <x v="102"/>
    <x v="75"/>
    <x v="5"/>
    <x v="5"/>
    <x v="2"/>
    <x v="2"/>
    <x v="2"/>
    <x v="0"/>
    <n v="3"/>
    <n v="650"/>
    <n v="0.1"/>
    <n v="1755"/>
    <n v="480.18"/>
    <n v="314.45999999999998"/>
    <x v="0"/>
    <m/>
    <m/>
    <m/>
    <m/>
    <m/>
  </r>
  <r>
    <x v="103"/>
    <x v="76"/>
    <x v="2"/>
    <x v="2"/>
    <x v="1"/>
    <x v="2"/>
    <x v="3"/>
    <x v="2"/>
    <n v="4"/>
    <n v="40"/>
    <n v="0.1"/>
    <n v="144"/>
    <n v="27.3"/>
    <n v="34.799999999999997"/>
    <x v="1"/>
    <m/>
    <m/>
    <m/>
    <m/>
    <m/>
  </r>
  <r>
    <x v="104"/>
    <x v="77"/>
    <x v="1"/>
    <x v="1"/>
    <x v="0"/>
    <x v="3"/>
    <x v="1"/>
    <x v="0"/>
    <n v="1"/>
    <n v="750"/>
    <n v="0.15"/>
    <n v="637.5"/>
    <n v="527.98"/>
    <n v="109.52"/>
    <x v="2"/>
    <m/>
    <m/>
    <m/>
    <m/>
    <m/>
  </r>
  <r>
    <x v="105"/>
    <x v="78"/>
    <x v="1"/>
    <x v="1"/>
    <x v="0"/>
    <x v="0"/>
    <x v="2"/>
    <x v="1"/>
    <n v="6"/>
    <n v="750"/>
    <n v="0.1"/>
    <n v="4050"/>
    <n v="449.81"/>
    <n v="1351.14"/>
    <x v="0"/>
    <m/>
    <m/>
    <m/>
    <m/>
    <m/>
  </r>
  <r>
    <x v="106"/>
    <x v="79"/>
    <x v="2"/>
    <x v="2"/>
    <x v="1"/>
    <x v="2"/>
    <x v="4"/>
    <x v="0"/>
    <n v="5"/>
    <n v="40"/>
    <n v="0.05"/>
    <n v="190"/>
    <n v="25.57"/>
    <n v="62.15"/>
    <x v="1"/>
    <m/>
    <m/>
    <m/>
    <m/>
    <m/>
  </r>
  <r>
    <x v="107"/>
    <x v="80"/>
    <x v="4"/>
    <x v="4"/>
    <x v="2"/>
    <x v="3"/>
    <x v="1"/>
    <x v="1"/>
    <n v="8"/>
    <n v="450"/>
    <n v="0.1"/>
    <n v="3240"/>
    <n v="333.78"/>
    <n v="569.76"/>
    <x v="0"/>
    <m/>
    <m/>
    <m/>
    <m/>
    <m/>
  </r>
  <r>
    <x v="108"/>
    <x v="81"/>
    <x v="0"/>
    <x v="0"/>
    <x v="0"/>
    <x v="1"/>
    <x v="1"/>
    <x v="1"/>
    <n v="6"/>
    <n v="180"/>
    <n v="0.1"/>
    <n v="972"/>
    <n v="129.21"/>
    <n v="196.74"/>
    <x v="2"/>
    <m/>
    <m/>
    <m/>
    <m/>
    <m/>
  </r>
  <r>
    <x v="109"/>
    <x v="82"/>
    <x v="7"/>
    <x v="7"/>
    <x v="3"/>
    <x v="1"/>
    <x v="4"/>
    <x v="1"/>
    <n v="6"/>
    <n v="520"/>
    <n v="0.1"/>
    <n v="2808"/>
    <n v="407.73"/>
    <n v="361.62"/>
    <x v="0"/>
    <m/>
    <m/>
    <m/>
    <m/>
    <m/>
  </r>
  <r>
    <x v="110"/>
    <x v="83"/>
    <x v="0"/>
    <x v="0"/>
    <x v="0"/>
    <x v="2"/>
    <x v="1"/>
    <x v="0"/>
    <n v="1"/>
    <n v="180"/>
    <n v="0"/>
    <n v="180"/>
    <n v="103.05"/>
    <n v="76.95"/>
    <x v="2"/>
    <m/>
    <m/>
    <m/>
    <m/>
    <m/>
  </r>
  <r>
    <x v="111"/>
    <x v="84"/>
    <x v="7"/>
    <x v="7"/>
    <x v="3"/>
    <x v="3"/>
    <x v="1"/>
    <x v="0"/>
    <n v="2"/>
    <n v="520"/>
    <n v="0.1"/>
    <n v="936"/>
    <n v="403.85"/>
    <n v="128.30000000000001"/>
    <x v="2"/>
    <m/>
    <m/>
    <m/>
    <m/>
    <m/>
  </r>
  <r>
    <x v="112"/>
    <x v="84"/>
    <x v="2"/>
    <x v="2"/>
    <x v="1"/>
    <x v="2"/>
    <x v="3"/>
    <x v="2"/>
    <n v="8"/>
    <n v="40"/>
    <n v="0"/>
    <n v="320"/>
    <n v="26.71"/>
    <n v="106.32"/>
    <x v="0"/>
    <m/>
    <m/>
    <m/>
    <m/>
    <m/>
  </r>
  <r>
    <x v="113"/>
    <x v="85"/>
    <x v="0"/>
    <x v="0"/>
    <x v="0"/>
    <x v="2"/>
    <x v="1"/>
    <x v="2"/>
    <n v="3"/>
    <n v="180"/>
    <n v="0.15"/>
    <n v="459"/>
    <n v="106.38"/>
    <n v="139.86000000000001"/>
    <x v="1"/>
    <m/>
    <m/>
    <m/>
    <m/>
    <m/>
  </r>
  <r>
    <x v="114"/>
    <x v="86"/>
    <x v="6"/>
    <x v="6"/>
    <x v="3"/>
    <x v="1"/>
    <x v="0"/>
    <x v="1"/>
    <n v="6"/>
    <n v="220"/>
    <n v="0.05"/>
    <n v="1254"/>
    <n v="155.47"/>
    <n v="321.18"/>
    <x v="2"/>
    <m/>
    <m/>
    <m/>
    <m/>
    <m/>
  </r>
  <r>
    <x v="115"/>
    <x v="87"/>
    <x v="7"/>
    <x v="7"/>
    <x v="3"/>
    <x v="1"/>
    <x v="3"/>
    <x v="1"/>
    <n v="5"/>
    <n v="520"/>
    <n v="0.1"/>
    <n v="2340"/>
    <n v="351.19"/>
    <n v="584.04999999999995"/>
    <x v="2"/>
    <m/>
    <m/>
    <m/>
    <m/>
    <m/>
  </r>
  <r>
    <x v="116"/>
    <x v="88"/>
    <x v="6"/>
    <x v="6"/>
    <x v="3"/>
    <x v="3"/>
    <x v="1"/>
    <x v="1"/>
    <n v="4"/>
    <n v="220"/>
    <n v="0"/>
    <n v="880"/>
    <n v="167.4"/>
    <n v="210.4"/>
    <x v="0"/>
    <m/>
    <m/>
    <m/>
    <m/>
    <m/>
  </r>
  <r>
    <x v="117"/>
    <x v="89"/>
    <x v="0"/>
    <x v="0"/>
    <x v="0"/>
    <x v="1"/>
    <x v="2"/>
    <x v="1"/>
    <n v="5"/>
    <n v="180"/>
    <n v="0.15"/>
    <n v="765"/>
    <n v="137.1"/>
    <n v="79.5"/>
    <x v="2"/>
    <m/>
    <m/>
    <m/>
    <m/>
    <m/>
  </r>
  <r>
    <x v="118"/>
    <x v="90"/>
    <x v="3"/>
    <x v="3"/>
    <x v="1"/>
    <x v="2"/>
    <x v="2"/>
    <x v="2"/>
    <n v="1"/>
    <n v="60"/>
    <n v="0.15"/>
    <n v="51"/>
    <n v="45.97"/>
    <n v="5.03"/>
    <x v="1"/>
    <m/>
    <m/>
    <m/>
    <m/>
    <m/>
  </r>
  <r>
    <x v="119"/>
    <x v="90"/>
    <x v="0"/>
    <x v="0"/>
    <x v="0"/>
    <x v="0"/>
    <x v="0"/>
    <x v="1"/>
    <n v="4"/>
    <n v="180"/>
    <n v="0.15"/>
    <n v="612"/>
    <n v="133.69"/>
    <n v="77.239999999999995"/>
    <x v="0"/>
    <m/>
    <m/>
    <m/>
    <m/>
    <m/>
  </r>
  <r>
    <x v="120"/>
    <x v="91"/>
    <x v="3"/>
    <x v="3"/>
    <x v="1"/>
    <x v="2"/>
    <x v="0"/>
    <x v="0"/>
    <n v="5"/>
    <n v="60"/>
    <n v="0.05"/>
    <n v="285"/>
    <n v="36.950000000000003"/>
    <n v="100.25"/>
    <x v="2"/>
    <m/>
    <m/>
    <m/>
    <m/>
    <m/>
  </r>
  <r>
    <x v="121"/>
    <x v="92"/>
    <x v="6"/>
    <x v="6"/>
    <x v="3"/>
    <x v="3"/>
    <x v="1"/>
    <x v="1"/>
    <n v="1"/>
    <n v="220"/>
    <n v="0.15"/>
    <n v="187"/>
    <n v="131.02000000000001"/>
    <n v="55.98"/>
    <x v="1"/>
    <m/>
    <m/>
    <m/>
    <m/>
    <m/>
  </r>
  <r>
    <x v="122"/>
    <x v="92"/>
    <x v="2"/>
    <x v="2"/>
    <x v="1"/>
    <x v="1"/>
    <x v="0"/>
    <x v="0"/>
    <n v="3"/>
    <n v="40"/>
    <n v="0.1"/>
    <n v="108"/>
    <n v="26.23"/>
    <n v="29.31"/>
    <x v="2"/>
    <m/>
    <m/>
    <m/>
    <m/>
    <m/>
  </r>
  <r>
    <x v="123"/>
    <x v="93"/>
    <x v="0"/>
    <x v="0"/>
    <x v="0"/>
    <x v="3"/>
    <x v="3"/>
    <x v="2"/>
    <n v="6"/>
    <n v="180"/>
    <n v="0.15"/>
    <n v="918"/>
    <n v="105.8"/>
    <n v="283.2"/>
    <x v="0"/>
    <m/>
    <m/>
    <m/>
    <m/>
    <m/>
  </r>
  <r>
    <x v="124"/>
    <x v="94"/>
    <x v="3"/>
    <x v="3"/>
    <x v="1"/>
    <x v="1"/>
    <x v="3"/>
    <x v="0"/>
    <n v="4"/>
    <n v="60"/>
    <n v="0.15"/>
    <n v="204"/>
    <n v="40.51"/>
    <n v="41.96"/>
    <x v="0"/>
    <m/>
    <m/>
    <m/>
    <m/>
    <m/>
  </r>
  <r>
    <x v="125"/>
    <x v="94"/>
    <x v="7"/>
    <x v="7"/>
    <x v="3"/>
    <x v="3"/>
    <x v="4"/>
    <x v="1"/>
    <n v="7"/>
    <n v="520"/>
    <n v="0.1"/>
    <n v="3276"/>
    <n v="315.61"/>
    <n v="1066.73"/>
    <x v="0"/>
    <m/>
    <m/>
    <m/>
    <m/>
    <m/>
  </r>
  <r>
    <x v="126"/>
    <x v="95"/>
    <x v="7"/>
    <x v="7"/>
    <x v="3"/>
    <x v="3"/>
    <x v="2"/>
    <x v="1"/>
    <n v="7"/>
    <n v="520"/>
    <n v="0.05"/>
    <n v="3458"/>
    <n v="348.04"/>
    <n v="1021.72"/>
    <x v="0"/>
    <m/>
    <m/>
    <m/>
    <m/>
    <m/>
  </r>
  <r>
    <x v="127"/>
    <x v="96"/>
    <x v="0"/>
    <x v="0"/>
    <x v="0"/>
    <x v="2"/>
    <x v="4"/>
    <x v="1"/>
    <n v="1"/>
    <n v="180"/>
    <n v="0.1"/>
    <n v="162"/>
    <n v="120.53"/>
    <n v="41.47"/>
    <x v="1"/>
    <m/>
    <m/>
    <m/>
    <m/>
    <m/>
  </r>
  <r>
    <x v="128"/>
    <x v="96"/>
    <x v="3"/>
    <x v="3"/>
    <x v="1"/>
    <x v="2"/>
    <x v="2"/>
    <x v="2"/>
    <n v="8"/>
    <n v="60"/>
    <n v="0.05"/>
    <n v="456"/>
    <n v="43.09"/>
    <n v="111.28"/>
    <x v="1"/>
    <m/>
    <m/>
    <m/>
    <m/>
    <m/>
  </r>
  <r>
    <x v="129"/>
    <x v="96"/>
    <x v="0"/>
    <x v="0"/>
    <x v="0"/>
    <x v="0"/>
    <x v="0"/>
    <x v="1"/>
    <n v="2"/>
    <n v="180"/>
    <n v="0.15"/>
    <n v="306"/>
    <n v="107.6"/>
    <n v="90.8"/>
    <x v="0"/>
    <m/>
    <m/>
    <m/>
    <m/>
    <m/>
  </r>
  <r>
    <x v="130"/>
    <x v="97"/>
    <x v="3"/>
    <x v="3"/>
    <x v="1"/>
    <x v="2"/>
    <x v="0"/>
    <x v="2"/>
    <n v="3"/>
    <n v="60"/>
    <n v="0"/>
    <n v="180"/>
    <n v="37.130000000000003"/>
    <n v="68.61"/>
    <x v="0"/>
    <m/>
    <m/>
    <m/>
    <m/>
    <m/>
  </r>
  <r>
    <x v="131"/>
    <x v="97"/>
    <x v="3"/>
    <x v="3"/>
    <x v="1"/>
    <x v="3"/>
    <x v="2"/>
    <x v="0"/>
    <n v="2"/>
    <n v="60"/>
    <n v="0.05"/>
    <n v="114"/>
    <n v="33.04"/>
    <n v="47.92"/>
    <x v="1"/>
    <m/>
    <m/>
    <m/>
    <m/>
    <m/>
  </r>
  <r>
    <x v="132"/>
    <x v="98"/>
    <x v="5"/>
    <x v="5"/>
    <x v="2"/>
    <x v="1"/>
    <x v="2"/>
    <x v="0"/>
    <n v="4"/>
    <n v="650"/>
    <n v="0.05"/>
    <n v="2470"/>
    <n v="364.08"/>
    <n v="1013.68"/>
    <x v="1"/>
    <m/>
    <m/>
    <m/>
    <m/>
    <m/>
  </r>
  <r>
    <x v="133"/>
    <x v="99"/>
    <x v="0"/>
    <x v="0"/>
    <x v="0"/>
    <x v="2"/>
    <x v="2"/>
    <x v="0"/>
    <n v="8"/>
    <n v="180"/>
    <n v="0.15"/>
    <n v="1224"/>
    <n v="104.37"/>
    <n v="389.04"/>
    <x v="0"/>
    <m/>
    <m/>
    <m/>
    <m/>
    <m/>
  </r>
  <r>
    <x v="134"/>
    <x v="99"/>
    <x v="6"/>
    <x v="6"/>
    <x v="3"/>
    <x v="1"/>
    <x v="2"/>
    <x v="1"/>
    <n v="2"/>
    <n v="220"/>
    <n v="0"/>
    <n v="440"/>
    <n v="153.71"/>
    <n v="132.58000000000001"/>
    <x v="2"/>
    <m/>
    <m/>
    <m/>
    <m/>
    <m/>
  </r>
  <r>
    <x v="135"/>
    <x v="100"/>
    <x v="7"/>
    <x v="7"/>
    <x v="3"/>
    <x v="0"/>
    <x v="3"/>
    <x v="1"/>
    <n v="4"/>
    <n v="520"/>
    <n v="0.15"/>
    <n v="1768"/>
    <n v="313.51"/>
    <n v="513.96"/>
    <x v="1"/>
    <m/>
    <m/>
    <m/>
    <m/>
    <m/>
  </r>
  <r>
    <x v="136"/>
    <x v="100"/>
    <x v="7"/>
    <x v="7"/>
    <x v="3"/>
    <x v="2"/>
    <x v="1"/>
    <x v="2"/>
    <n v="4"/>
    <n v="520"/>
    <n v="0.05"/>
    <n v="1976"/>
    <n v="358.13"/>
    <n v="543.48"/>
    <x v="0"/>
    <m/>
    <m/>
    <m/>
    <m/>
    <m/>
  </r>
  <r>
    <x v="137"/>
    <x v="101"/>
    <x v="4"/>
    <x v="4"/>
    <x v="2"/>
    <x v="1"/>
    <x v="4"/>
    <x v="1"/>
    <n v="3"/>
    <n v="450"/>
    <n v="0.1"/>
    <n v="1215"/>
    <n v="303.58999999999997"/>
    <n v="304.23"/>
    <x v="2"/>
    <m/>
    <m/>
    <m/>
    <m/>
    <m/>
  </r>
  <r>
    <x v="138"/>
    <x v="102"/>
    <x v="7"/>
    <x v="7"/>
    <x v="3"/>
    <x v="3"/>
    <x v="0"/>
    <x v="1"/>
    <n v="5"/>
    <n v="520"/>
    <n v="0.15"/>
    <n v="2210"/>
    <n v="411.28"/>
    <n v="153.6"/>
    <x v="0"/>
    <m/>
    <m/>
    <m/>
    <m/>
    <m/>
  </r>
  <r>
    <x v="139"/>
    <x v="103"/>
    <x v="0"/>
    <x v="0"/>
    <x v="0"/>
    <x v="3"/>
    <x v="4"/>
    <x v="2"/>
    <n v="3"/>
    <n v="180"/>
    <n v="0.1"/>
    <n v="486"/>
    <n v="131.44999999999999"/>
    <n v="91.65"/>
    <x v="1"/>
    <m/>
    <m/>
    <m/>
    <m/>
    <m/>
  </r>
  <r>
    <x v="140"/>
    <x v="103"/>
    <x v="5"/>
    <x v="5"/>
    <x v="2"/>
    <x v="0"/>
    <x v="0"/>
    <x v="0"/>
    <n v="7"/>
    <n v="650"/>
    <n v="0.05"/>
    <n v="4322.5"/>
    <n v="399.68"/>
    <n v="1524.74"/>
    <x v="1"/>
    <m/>
    <m/>
    <m/>
    <m/>
    <m/>
  </r>
  <r>
    <x v="141"/>
    <x v="104"/>
    <x v="6"/>
    <x v="6"/>
    <x v="3"/>
    <x v="0"/>
    <x v="1"/>
    <x v="0"/>
    <n v="4"/>
    <n v="220"/>
    <n v="0.1"/>
    <n v="792"/>
    <n v="167.53"/>
    <n v="121.88"/>
    <x v="1"/>
    <m/>
    <m/>
    <m/>
    <m/>
    <m/>
  </r>
  <r>
    <x v="142"/>
    <x v="105"/>
    <x v="6"/>
    <x v="6"/>
    <x v="3"/>
    <x v="0"/>
    <x v="4"/>
    <x v="1"/>
    <n v="5"/>
    <n v="220"/>
    <n v="0.05"/>
    <n v="1045"/>
    <n v="153.36000000000001"/>
    <n v="278.2"/>
    <x v="1"/>
    <m/>
    <m/>
    <m/>
    <m/>
    <m/>
  </r>
  <r>
    <x v="143"/>
    <x v="106"/>
    <x v="7"/>
    <x v="7"/>
    <x v="3"/>
    <x v="1"/>
    <x v="2"/>
    <x v="2"/>
    <n v="3"/>
    <n v="520"/>
    <n v="0.1"/>
    <n v="1404"/>
    <n v="373.34"/>
    <n v="283.98"/>
    <x v="0"/>
    <m/>
    <m/>
    <m/>
    <m/>
    <m/>
  </r>
  <r>
    <x v="144"/>
    <x v="107"/>
    <x v="6"/>
    <x v="6"/>
    <x v="3"/>
    <x v="1"/>
    <x v="0"/>
    <x v="1"/>
    <n v="4"/>
    <n v="220"/>
    <n v="0"/>
    <n v="880"/>
    <n v="129.13"/>
    <n v="363.48"/>
    <x v="2"/>
    <m/>
    <m/>
    <m/>
    <m/>
    <m/>
  </r>
  <r>
    <x v="145"/>
    <x v="108"/>
    <x v="2"/>
    <x v="2"/>
    <x v="1"/>
    <x v="3"/>
    <x v="4"/>
    <x v="1"/>
    <n v="8"/>
    <n v="40"/>
    <n v="0.05"/>
    <n v="304"/>
    <n v="31.09"/>
    <n v="55.28"/>
    <x v="1"/>
    <m/>
    <m/>
    <m/>
    <m/>
    <m/>
  </r>
  <r>
    <x v="146"/>
    <x v="109"/>
    <x v="0"/>
    <x v="0"/>
    <x v="0"/>
    <x v="2"/>
    <x v="1"/>
    <x v="0"/>
    <n v="1"/>
    <n v="180"/>
    <n v="0.15"/>
    <n v="153"/>
    <n v="141.82"/>
    <n v="11.18"/>
    <x v="2"/>
    <m/>
    <m/>
    <m/>
    <m/>
    <m/>
  </r>
  <r>
    <x v="147"/>
    <x v="109"/>
    <x v="1"/>
    <x v="1"/>
    <x v="0"/>
    <x v="2"/>
    <x v="4"/>
    <x v="0"/>
    <n v="7"/>
    <n v="750"/>
    <n v="0.15"/>
    <n v="4462.5"/>
    <n v="458.31"/>
    <n v="1254.33"/>
    <x v="1"/>
    <m/>
    <m/>
    <m/>
    <m/>
    <m/>
  </r>
  <r>
    <x v="148"/>
    <x v="110"/>
    <x v="2"/>
    <x v="2"/>
    <x v="1"/>
    <x v="0"/>
    <x v="4"/>
    <x v="1"/>
    <n v="8"/>
    <n v="40"/>
    <n v="0.05"/>
    <n v="304"/>
    <n v="30.83"/>
    <n v="57.36"/>
    <x v="1"/>
    <m/>
    <m/>
    <m/>
    <m/>
    <m/>
  </r>
  <r>
    <x v="149"/>
    <x v="111"/>
    <x v="0"/>
    <x v="0"/>
    <x v="0"/>
    <x v="1"/>
    <x v="3"/>
    <x v="0"/>
    <n v="7"/>
    <n v="180"/>
    <n v="0.1"/>
    <n v="1134"/>
    <n v="110.78"/>
    <n v="358.54"/>
    <x v="1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ORD0065"/>
    <d v="2026-01-06T00:00:00"/>
    <s v="P003"/>
    <s v="Water Bottle"/>
    <x v="0"/>
    <s v="North"/>
    <s v="Diya"/>
    <s v="Member"/>
    <n v="4"/>
    <n v="180"/>
    <n v="0.05"/>
    <n v="684"/>
    <n v="127.09"/>
    <n v="175.64"/>
    <s v="Cash"/>
  </r>
  <r>
    <s v="ORD0147"/>
    <d v="2026-01-09T00:00:00"/>
    <s v="P003"/>
    <s v="Water Bottle"/>
    <x v="0"/>
    <s v="North"/>
    <s v="Kabir"/>
    <s v="New"/>
    <n v="6"/>
    <n v="180"/>
    <n v="0.15"/>
    <n v="918"/>
    <n v="137.97"/>
    <n v="90.18"/>
    <s v="Cash"/>
  </r>
  <r>
    <s v="ORD0032"/>
    <d v="2026-01-15T00:00:00"/>
    <s v="P004"/>
    <s v="Backpack"/>
    <x v="0"/>
    <s v="South"/>
    <s v="Diya"/>
    <s v="Member"/>
    <n v="5"/>
    <n v="750"/>
    <n v="0"/>
    <n v="3750"/>
    <n v="472.9"/>
    <n v="1385.5"/>
    <s v="Card"/>
  </r>
  <r>
    <s v="ORD0141"/>
    <d v="2026-01-18T00:00:00"/>
    <s v="P002"/>
    <s v="Pen Pack"/>
    <x v="1"/>
    <s v="East"/>
    <s v="Rohan"/>
    <s v="Regular"/>
    <n v="8"/>
    <n v="40"/>
    <n v="0.15"/>
    <n v="272"/>
    <n v="23.33"/>
    <n v="85.36"/>
    <s v="Cash"/>
  </r>
  <r>
    <s v="ORD0022"/>
    <d v="2026-01-22T00:00:00"/>
    <s v="P004"/>
    <s v="Backpack"/>
    <x v="0"/>
    <s v="North"/>
    <s v="Kabir"/>
    <s v="Member"/>
    <n v="5"/>
    <n v="750"/>
    <n v="0.1"/>
    <n v="3375"/>
    <n v="458.38"/>
    <n v="1083.0999999999999"/>
    <s v="UPI"/>
  </r>
  <r>
    <s v="ORD0026"/>
    <d v="2026-01-22T00:00:00"/>
    <s v="P001"/>
    <s v="Notebook"/>
    <x v="1"/>
    <s v="East"/>
    <s v="Meera"/>
    <s v="New"/>
    <n v="1"/>
    <n v="60"/>
    <n v="0.15"/>
    <n v="51"/>
    <n v="36.71"/>
    <n v="14.29"/>
    <s v="Cash"/>
  </r>
  <r>
    <s v="ORD0081"/>
    <d v="2026-01-25T00:00:00"/>
    <s v="P005"/>
    <s v="USB Drive"/>
    <x v="2"/>
    <s v="West"/>
    <s v="Aarav"/>
    <s v="Regular"/>
    <n v="3"/>
    <n v="450"/>
    <n v="0.15"/>
    <n v="1147.5"/>
    <n v="262.89999999999998"/>
    <n v="358.8"/>
    <s v="UPI"/>
  </r>
  <r>
    <s v="ORD0117"/>
    <d v="2026-01-27T00:00:00"/>
    <s v="P001"/>
    <s v="Notebook"/>
    <x v="1"/>
    <s v="East"/>
    <s v="Rohan"/>
    <s v="Member"/>
    <n v="3"/>
    <n v="60"/>
    <n v="0.05"/>
    <n v="171"/>
    <n v="38.01"/>
    <n v="56.97"/>
    <s v="Card"/>
  </r>
  <r>
    <s v="ORD0060"/>
    <d v="2026-01-30T00:00:00"/>
    <s v="P004"/>
    <s v="Backpack"/>
    <x v="0"/>
    <s v="East"/>
    <s v="Aarav"/>
    <s v="Regular"/>
    <n v="3"/>
    <n v="750"/>
    <n v="0.1"/>
    <n v="2025"/>
    <n v="461.71"/>
    <n v="639.87"/>
    <s v="Card"/>
  </r>
  <r>
    <s v="ORD0099"/>
    <d v="2026-02-02T00:00:00"/>
    <s v="P002"/>
    <s v="Pen Pack"/>
    <x v="1"/>
    <s v="North"/>
    <s v="Aarav"/>
    <s v="Member"/>
    <n v="2"/>
    <n v="40"/>
    <n v="0.1"/>
    <n v="72"/>
    <n v="24.03"/>
    <n v="23.94"/>
    <s v="Card"/>
  </r>
  <r>
    <s v="ORD0134"/>
    <d v="2026-02-04T00:00:00"/>
    <s v="P005"/>
    <s v="USB Drive"/>
    <x v="2"/>
    <s v="East"/>
    <s v="Kabir"/>
    <s v="New"/>
    <n v="8"/>
    <n v="450"/>
    <n v="0.05"/>
    <n v="3420"/>
    <n v="284.48"/>
    <n v="1144.1600000000001"/>
    <s v="Cash"/>
  </r>
  <r>
    <s v="ORD0113"/>
    <d v="2026-02-05T00:00:00"/>
    <s v="P001"/>
    <s v="Notebook"/>
    <x v="1"/>
    <s v="East"/>
    <s v="Meera"/>
    <s v="New"/>
    <n v="2"/>
    <n v="60"/>
    <n v="0.1"/>
    <n v="108"/>
    <n v="42.96"/>
    <n v="22.08"/>
    <s v="UPI"/>
  </r>
  <r>
    <s v="ORD0056"/>
    <d v="2026-02-06T00:00:00"/>
    <s v="P006"/>
    <s v="Wireless Mouse"/>
    <x v="2"/>
    <s v="West"/>
    <s v="Kabir"/>
    <s v="Member"/>
    <n v="7"/>
    <n v="650"/>
    <n v="0.15"/>
    <n v="3867.5"/>
    <n v="498.11"/>
    <n v="380.73"/>
    <s v="UPI"/>
  </r>
  <r>
    <s v="ORD0124"/>
    <d v="2026-02-06T00:00:00"/>
    <s v="P008"/>
    <s v="Coffee Mug"/>
    <x v="3"/>
    <s v="South"/>
    <s v="Diya"/>
    <s v="Member"/>
    <n v="8"/>
    <n v="220"/>
    <n v="0.1"/>
    <n v="1584"/>
    <n v="147.71"/>
    <n v="402.32"/>
    <s v="Card"/>
  </r>
  <r>
    <s v="ORD0126"/>
    <d v="2026-02-06T00:00:00"/>
    <s v="P001"/>
    <s v="Notebook"/>
    <x v="1"/>
    <s v="South"/>
    <s v="Aarav"/>
    <s v="Regular"/>
    <n v="8"/>
    <n v="60"/>
    <n v="0.1"/>
    <n v="432"/>
    <n v="35.159999999999997"/>
    <n v="150.72"/>
    <s v="Card"/>
  </r>
  <r>
    <s v="ORD0035"/>
    <d v="2026-02-08T00:00:00"/>
    <s v="P006"/>
    <s v="Wireless Mouse"/>
    <x v="2"/>
    <s v="West"/>
    <s v="Meera"/>
    <s v="Member"/>
    <n v="6"/>
    <n v="650"/>
    <n v="0"/>
    <n v="3900"/>
    <n v="438.95"/>
    <n v="1266.3"/>
    <s v="UPI"/>
  </r>
  <r>
    <s v="ORD0082"/>
    <d v="2026-02-08T00:00:00"/>
    <s v="P002"/>
    <s v="Pen Pack"/>
    <x v="1"/>
    <s v="West"/>
    <s v="Diya"/>
    <s v="Member"/>
    <n v="8"/>
    <n v="40"/>
    <n v="0"/>
    <n v="320"/>
    <n v="28.37"/>
    <n v="93.04"/>
    <s v="Card"/>
  </r>
  <r>
    <s v="ORD0150"/>
    <d v="2026-02-08T00:00:00"/>
    <s v="P003"/>
    <s v="Water Bottle"/>
    <x v="0"/>
    <s v="South"/>
    <s v="Kabir"/>
    <s v="Member"/>
    <n v="1"/>
    <n v="180"/>
    <n v="0.1"/>
    <n v="162"/>
    <n v="118.55"/>
    <n v="43.45"/>
    <s v="UPI"/>
  </r>
  <r>
    <s v="ORD0095"/>
    <d v="2026-02-10T00:00:00"/>
    <s v="P002"/>
    <s v="Pen Pack"/>
    <x v="1"/>
    <s v="North"/>
    <s v="Meera"/>
    <s v="New"/>
    <n v="6"/>
    <n v="40"/>
    <n v="0"/>
    <n v="240"/>
    <n v="28.41"/>
    <n v="69.540000000000006"/>
    <s v="UPI"/>
  </r>
  <r>
    <s v="ORD0137"/>
    <d v="2026-02-11T00:00:00"/>
    <s v="P008"/>
    <s v="Coffee Mug"/>
    <x v="3"/>
    <s v="South"/>
    <s v="Rohan"/>
    <s v="Member"/>
    <n v="7"/>
    <n v="220"/>
    <n v="0.1"/>
    <n v="1386"/>
    <n v="131.9"/>
    <n v="462.7"/>
    <s v="Cash"/>
  </r>
  <r>
    <s v="ORD0071"/>
    <d v="2026-02-16T00:00:00"/>
    <s v="P001"/>
    <s v="Notebook"/>
    <x v="1"/>
    <s v="North"/>
    <s v="Diya"/>
    <s v="New"/>
    <n v="2"/>
    <n v="60"/>
    <n v="0.1"/>
    <n v="108"/>
    <n v="40.299999999999997"/>
    <n v="27.4"/>
    <s v="UPI"/>
  </r>
  <r>
    <s v="ORD0030"/>
    <d v="2026-02-16T00:00:00"/>
    <s v="P005"/>
    <s v="USB Drive"/>
    <x v="2"/>
    <s v="West"/>
    <s v="Rohan"/>
    <s v="New"/>
    <n v="7"/>
    <n v="450"/>
    <n v="0.05"/>
    <n v="2992.5"/>
    <n v="309.74"/>
    <n v="824.32"/>
    <s v="Card"/>
  </r>
  <r>
    <s v="ORD0018"/>
    <d v="2026-02-18T00:00:00"/>
    <s v="P003"/>
    <s v="Water Bottle"/>
    <x v="0"/>
    <s v="North"/>
    <s v="Aarav"/>
    <s v="Member"/>
    <n v="3"/>
    <n v="180"/>
    <n v="0.05"/>
    <n v="513"/>
    <n v="116.86"/>
    <n v="162.41999999999999"/>
    <s v="UPI"/>
  </r>
  <r>
    <s v="ORD0067"/>
    <d v="2026-02-19T00:00:00"/>
    <s v="P002"/>
    <s v="Pen Pack"/>
    <x v="1"/>
    <s v="East"/>
    <s v="Rohan"/>
    <s v="Member"/>
    <n v="4"/>
    <n v="40"/>
    <n v="0.05"/>
    <n v="152"/>
    <n v="24.45"/>
    <n v="54.2"/>
    <s v="Card"/>
  </r>
  <r>
    <s v="ORD0058"/>
    <d v="2026-02-23T00:00:00"/>
    <s v="P003"/>
    <s v="Water Bottle"/>
    <x v="0"/>
    <s v="South"/>
    <s v="Diya"/>
    <s v="Member"/>
    <n v="3"/>
    <n v="180"/>
    <n v="0.1"/>
    <n v="486"/>
    <n v="129.71"/>
    <n v="96.87"/>
    <s v="Cash"/>
  </r>
  <r>
    <s v="ORD0050"/>
    <d v="2026-02-24T00:00:00"/>
    <s v="P007"/>
    <s v="Desk Lamp"/>
    <x v="3"/>
    <s v="South"/>
    <s v="Rohan"/>
    <s v="New"/>
    <n v="1"/>
    <n v="520"/>
    <n v="0.05"/>
    <n v="494"/>
    <n v="313.64999999999998"/>
    <n v="180.35"/>
    <s v="Cash"/>
  </r>
  <r>
    <s v="ORD0107"/>
    <d v="2026-02-28T00:00:00"/>
    <s v="P004"/>
    <s v="Backpack"/>
    <x v="0"/>
    <s v="West"/>
    <s v="Aarav"/>
    <s v="New"/>
    <n v="3"/>
    <n v="750"/>
    <n v="0"/>
    <n v="2250"/>
    <n v="596.32000000000005"/>
    <n v="461.04"/>
    <s v="Card"/>
  </r>
  <r>
    <s v="ORD0066"/>
    <d v="2026-03-04T00:00:00"/>
    <s v="P003"/>
    <s v="Water Bottle"/>
    <x v="0"/>
    <s v="North"/>
    <s v="Diya"/>
    <s v="Member"/>
    <n v="2"/>
    <n v="180"/>
    <n v="0.15"/>
    <n v="306"/>
    <n v="133.24"/>
    <n v="39.520000000000003"/>
    <s v="Cash"/>
  </r>
  <r>
    <s v="ORD0006"/>
    <d v="2026-03-04T00:00:00"/>
    <s v="P004"/>
    <s v="Backpack"/>
    <x v="0"/>
    <s v="East"/>
    <s v="Diya"/>
    <s v="New"/>
    <n v="4"/>
    <n v="750"/>
    <n v="0"/>
    <n v="3000"/>
    <n v="517.52"/>
    <n v="929.92"/>
    <s v="Cash"/>
  </r>
  <r>
    <s v="ORD0142"/>
    <d v="2026-03-07T00:00:00"/>
    <s v="P001"/>
    <s v="Notebook"/>
    <x v="1"/>
    <s v="South"/>
    <s v="Rohan"/>
    <s v="Member"/>
    <n v="1"/>
    <n v="60"/>
    <n v="0.1"/>
    <n v="54"/>
    <n v="44.71"/>
    <n v="9.2899999999999991"/>
    <s v="Card"/>
  </r>
  <r>
    <s v="ORD0037"/>
    <d v="2026-03-11T00:00:00"/>
    <s v="P001"/>
    <s v="Notebook"/>
    <x v="1"/>
    <s v="East"/>
    <s v="Rohan"/>
    <s v="Regular"/>
    <n v="6"/>
    <n v="60"/>
    <n v="0.05"/>
    <n v="342"/>
    <n v="41.56"/>
    <n v="92.64"/>
    <s v="UPI"/>
  </r>
  <r>
    <s v="ORD0077"/>
    <d v="2026-03-15T00:00:00"/>
    <s v="P003"/>
    <s v="Water Bottle"/>
    <x v="0"/>
    <s v="North"/>
    <s v="Kabir"/>
    <s v="Member"/>
    <n v="6"/>
    <n v="180"/>
    <n v="0.15"/>
    <n v="918"/>
    <n v="113.78"/>
    <n v="235.32"/>
    <s v="Card"/>
  </r>
  <r>
    <s v="ORD0148"/>
    <d v="2026-03-15T00:00:00"/>
    <s v="P008"/>
    <s v="Coffee Mug"/>
    <x v="3"/>
    <s v="North"/>
    <s v="Diya"/>
    <s v="Member"/>
    <n v="7"/>
    <n v="220"/>
    <n v="0"/>
    <n v="1540"/>
    <n v="140.29"/>
    <n v="557.97"/>
    <s v="Cash"/>
  </r>
  <r>
    <s v="ORD0014"/>
    <d v="2026-03-16T00:00:00"/>
    <s v="P007"/>
    <s v="Desk Lamp"/>
    <x v="3"/>
    <s v="East"/>
    <s v="Aarav"/>
    <s v="New"/>
    <n v="2"/>
    <n v="520"/>
    <n v="0.1"/>
    <n v="936"/>
    <n v="413.85"/>
    <n v="108.3"/>
    <s v="Cash"/>
  </r>
  <r>
    <s v="ORD0132"/>
    <d v="2026-03-17T00:00:00"/>
    <s v="P007"/>
    <s v="Desk Lamp"/>
    <x v="3"/>
    <s v="West"/>
    <s v="Kabir"/>
    <s v="New"/>
    <n v="7"/>
    <n v="520"/>
    <n v="0.05"/>
    <n v="3458"/>
    <n v="354.94"/>
    <n v="973.42"/>
    <s v="Cash"/>
  </r>
  <r>
    <s v="ORD0040"/>
    <d v="2026-03-20T00:00:00"/>
    <s v="P008"/>
    <s v="Coffee Mug"/>
    <x v="3"/>
    <s v="South"/>
    <s v="Kabir"/>
    <s v="New"/>
    <n v="8"/>
    <n v="220"/>
    <n v="0.1"/>
    <n v="1584"/>
    <n v="135.84"/>
    <n v="497.28"/>
    <s v="Card"/>
  </r>
  <r>
    <s v="ORD0004"/>
    <d v="2026-03-21T00:00:00"/>
    <s v="P002"/>
    <s v="Pen Pack"/>
    <x v="1"/>
    <s v="West"/>
    <s v="Aarav"/>
    <s v="Regular"/>
    <n v="6"/>
    <n v="40"/>
    <n v="0"/>
    <n v="240"/>
    <n v="29.41"/>
    <n v="63.54"/>
    <s v="UPI"/>
  </r>
  <r>
    <s v="ORD0125"/>
    <d v="2026-03-22T00:00:00"/>
    <s v="P006"/>
    <s v="Wireless Mouse"/>
    <x v="2"/>
    <s v="East"/>
    <s v="Rohan"/>
    <s v="Regular"/>
    <n v="4"/>
    <n v="650"/>
    <n v="0"/>
    <n v="2600"/>
    <n v="487.14"/>
    <n v="651.44000000000005"/>
    <s v="Cash"/>
  </r>
  <r>
    <s v="ORD0085"/>
    <d v="2026-03-24T00:00:00"/>
    <s v="P006"/>
    <s v="Wireless Mouse"/>
    <x v="2"/>
    <s v="South"/>
    <s v="Diya"/>
    <s v="Regular"/>
    <n v="6"/>
    <n v="650"/>
    <n v="0.05"/>
    <n v="3705"/>
    <n v="490.51"/>
    <n v="761.94"/>
    <s v="UPI"/>
  </r>
  <r>
    <s v="ORD0012"/>
    <d v="2026-03-25T00:00:00"/>
    <s v="P007"/>
    <s v="Desk Lamp"/>
    <x v="3"/>
    <s v="East"/>
    <s v="Meera"/>
    <s v="Member"/>
    <n v="4"/>
    <n v="520"/>
    <n v="0.05"/>
    <n v="1976"/>
    <n v="359.04"/>
    <n v="539.84"/>
    <s v="UPI"/>
  </r>
  <r>
    <s v="ORD0011"/>
    <d v="2026-03-25T00:00:00"/>
    <s v="P001"/>
    <s v="Notebook"/>
    <x v="1"/>
    <s v="West"/>
    <s v="Kabir"/>
    <s v="New"/>
    <n v="4"/>
    <n v="60"/>
    <n v="0.15"/>
    <n v="204"/>
    <n v="47.42"/>
    <n v="14.32"/>
    <s v="Card"/>
  </r>
  <r>
    <s v="ORD0031"/>
    <d v="2026-03-27T00:00:00"/>
    <s v="P007"/>
    <s v="Desk Lamp"/>
    <x v="3"/>
    <s v="North"/>
    <s v="Kabir"/>
    <s v="New"/>
    <n v="8"/>
    <n v="520"/>
    <n v="0"/>
    <n v="4160"/>
    <n v="377.51"/>
    <n v="1139.92"/>
    <s v="Card"/>
  </r>
  <r>
    <s v="ORD0010"/>
    <d v="2026-03-28T00:00:00"/>
    <s v="P005"/>
    <s v="USB Drive"/>
    <x v="2"/>
    <s v="North"/>
    <s v="Meera"/>
    <s v="New"/>
    <n v="4"/>
    <n v="450"/>
    <n v="0"/>
    <n v="1800"/>
    <n v="254.88"/>
    <n v="780.48"/>
    <s v="Cash"/>
  </r>
  <r>
    <s v="ORD0087"/>
    <d v="2026-03-28T00:00:00"/>
    <s v="P004"/>
    <s v="Backpack"/>
    <x v="0"/>
    <s v="North"/>
    <s v="Aarav"/>
    <s v="Regular"/>
    <n v="3"/>
    <n v="750"/>
    <n v="0.1"/>
    <n v="2025"/>
    <n v="526.37"/>
    <n v="445.89"/>
    <s v="Card"/>
  </r>
  <r>
    <s v="ORD0136"/>
    <d v="2026-03-29T00:00:00"/>
    <s v="P008"/>
    <s v="Coffee Mug"/>
    <x v="3"/>
    <s v="North"/>
    <s v="Meera"/>
    <s v="Member"/>
    <n v="2"/>
    <n v="220"/>
    <n v="0.15"/>
    <n v="374"/>
    <n v="125.2"/>
    <n v="123.6"/>
    <s v="UPI"/>
  </r>
  <r>
    <s v="ORD0009"/>
    <d v="2026-04-03T00:00:00"/>
    <s v="P004"/>
    <s v="Backpack"/>
    <x v="0"/>
    <s v="South"/>
    <s v="Kabir"/>
    <s v="New"/>
    <n v="6"/>
    <n v="750"/>
    <n v="0"/>
    <n v="4500"/>
    <n v="538.05999999999995"/>
    <n v="1271.6400000000001"/>
    <s v="Card"/>
  </r>
  <r>
    <s v="ORD0041"/>
    <d v="2026-04-06T00:00:00"/>
    <s v="P001"/>
    <s v="Notebook"/>
    <x v="1"/>
    <s v="North"/>
    <s v="Kabir"/>
    <s v="New"/>
    <n v="2"/>
    <n v="60"/>
    <n v="0"/>
    <n v="120"/>
    <n v="40.68"/>
    <n v="38.64"/>
    <s v="UPI"/>
  </r>
  <r>
    <s v="ORD0090"/>
    <d v="2026-04-06T00:00:00"/>
    <s v="P008"/>
    <s v="Coffee Mug"/>
    <x v="3"/>
    <s v="East"/>
    <s v="Aarav"/>
    <s v="New"/>
    <n v="8"/>
    <n v="220"/>
    <n v="0.05"/>
    <n v="1672"/>
    <n v="160.56"/>
    <n v="387.52"/>
    <s v="UPI"/>
  </r>
  <r>
    <s v="ORD0093"/>
    <d v="2026-04-06T00:00:00"/>
    <s v="P008"/>
    <s v="Coffee Mug"/>
    <x v="3"/>
    <s v="North"/>
    <s v="Kabir"/>
    <s v="Regular"/>
    <n v="8"/>
    <n v="220"/>
    <n v="0.1"/>
    <n v="1584"/>
    <n v="152.11000000000001"/>
    <n v="367.12"/>
    <s v="Cash"/>
  </r>
  <r>
    <s v="ORD0074"/>
    <d v="2026-04-06T00:00:00"/>
    <s v="P005"/>
    <s v="USB Drive"/>
    <x v="2"/>
    <s v="West"/>
    <s v="Meera"/>
    <s v="Member"/>
    <n v="6"/>
    <n v="450"/>
    <n v="0.15"/>
    <n v="2295"/>
    <n v="334.17"/>
    <n v="289.98"/>
    <s v="Cash"/>
  </r>
  <r>
    <s v="ORD0039"/>
    <d v="2026-04-07T00:00:00"/>
    <s v="P002"/>
    <s v="Pen Pack"/>
    <x v="1"/>
    <s v="East"/>
    <s v="Rohan"/>
    <s v="Member"/>
    <n v="2"/>
    <n v="40"/>
    <n v="0.15"/>
    <n v="68"/>
    <n v="23.52"/>
    <n v="20.96"/>
    <s v="Card"/>
  </r>
  <r>
    <s v="ORD0101"/>
    <d v="2026-04-11T00:00:00"/>
    <s v="P005"/>
    <s v="USB Drive"/>
    <x v="2"/>
    <s v="South"/>
    <s v="Meera"/>
    <s v="New"/>
    <n v="7"/>
    <n v="450"/>
    <n v="0.15"/>
    <n v="2677.5"/>
    <n v="347.83"/>
    <n v="242.69"/>
    <s v="UPI"/>
  </r>
  <r>
    <s v="ORD0024"/>
    <d v="2026-04-14T00:00:00"/>
    <s v="P004"/>
    <s v="Backpack"/>
    <x v="0"/>
    <s v="South"/>
    <s v="Meera"/>
    <s v="Regular"/>
    <n v="2"/>
    <n v="750"/>
    <n v="0.1"/>
    <n v="1350"/>
    <n v="479.1"/>
    <n v="391.8"/>
    <s v="Cash"/>
  </r>
  <r>
    <s v="ORD0127"/>
    <d v="2026-04-14T00:00:00"/>
    <s v="P004"/>
    <s v="Backpack"/>
    <x v="0"/>
    <s v="East"/>
    <s v="Kabir"/>
    <s v="Regular"/>
    <n v="8"/>
    <n v="750"/>
    <n v="0.05"/>
    <n v="5700"/>
    <n v="589.07000000000005"/>
    <n v="987.44"/>
    <s v="Cash"/>
  </r>
  <r>
    <s v="ORD0079"/>
    <d v="2026-04-19T00:00:00"/>
    <s v="P001"/>
    <s v="Notebook"/>
    <x v="1"/>
    <s v="North"/>
    <s v="Aarav"/>
    <s v="Regular"/>
    <n v="5"/>
    <n v="60"/>
    <n v="0.1"/>
    <n v="270"/>
    <n v="44.91"/>
    <n v="45.45"/>
    <s v="Cash"/>
  </r>
  <r>
    <s v="ORD0086"/>
    <d v="2026-04-20T00:00:00"/>
    <s v="P001"/>
    <s v="Notebook"/>
    <x v="1"/>
    <s v="West"/>
    <s v="Aarav"/>
    <s v="Regular"/>
    <n v="3"/>
    <n v="60"/>
    <n v="0.1"/>
    <n v="162"/>
    <n v="40.57"/>
    <n v="40.29"/>
    <s v="UPI"/>
  </r>
  <r>
    <s v="ORD0075"/>
    <d v="2026-04-20T00:00:00"/>
    <s v="P003"/>
    <s v="Water Bottle"/>
    <x v="0"/>
    <s v="South"/>
    <s v="Aarav"/>
    <s v="Member"/>
    <n v="1"/>
    <n v="180"/>
    <n v="0.05"/>
    <n v="171"/>
    <n v="106.44"/>
    <n v="64.56"/>
    <s v="Cash"/>
  </r>
  <r>
    <s v="ORD0059"/>
    <d v="2026-04-22T00:00:00"/>
    <s v="P003"/>
    <s v="Water Bottle"/>
    <x v="0"/>
    <s v="South"/>
    <s v="Rohan"/>
    <s v="New"/>
    <n v="8"/>
    <n v="180"/>
    <n v="0.15"/>
    <n v="1224"/>
    <n v="100.45"/>
    <n v="420.4"/>
    <s v="Cash"/>
  </r>
  <r>
    <s v="ORD0135"/>
    <d v="2026-04-24T00:00:00"/>
    <s v="P007"/>
    <s v="Desk Lamp"/>
    <x v="3"/>
    <s v="North"/>
    <s v="Rohan"/>
    <s v="Regular"/>
    <n v="6"/>
    <n v="520"/>
    <n v="0.15"/>
    <n v="2652"/>
    <n v="391.62"/>
    <n v="302.27999999999997"/>
    <s v="Card"/>
  </r>
  <r>
    <s v="ORD0146"/>
    <d v="2026-04-26T00:00:00"/>
    <s v="P002"/>
    <s v="Pen Pack"/>
    <x v="1"/>
    <s v="East"/>
    <s v="Aarav"/>
    <s v="New"/>
    <n v="1"/>
    <n v="40"/>
    <n v="0.1"/>
    <n v="36"/>
    <n v="26.8"/>
    <n v="9.1999999999999993"/>
    <s v="Cash"/>
  </r>
  <r>
    <s v="ORD0103"/>
    <d v="2026-04-30T00:00:00"/>
    <s v="P001"/>
    <s v="Notebook"/>
    <x v="1"/>
    <s v="West"/>
    <s v="Kabir"/>
    <s v="Member"/>
    <n v="5"/>
    <n v="60"/>
    <n v="0.05"/>
    <n v="285"/>
    <n v="45.96"/>
    <n v="55.2"/>
    <s v="Cash"/>
  </r>
  <r>
    <s v="ORD0102"/>
    <d v="2026-05-09T00:00:00"/>
    <s v="P004"/>
    <s v="Backpack"/>
    <x v="0"/>
    <s v="South"/>
    <s v="Rohan"/>
    <s v="New"/>
    <n v="1"/>
    <n v="750"/>
    <n v="0.1"/>
    <n v="675"/>
    <n v="482.64"/>
    <n v="192.36"/>
    <s v="Card"/>
  </r>
  <r>
    <s v="ORD0123"/>
    <d v="2026-05-13T00:00:00"/>
    <s v="P004"/>
    <s v="Backpack"/>
    <x v="0"/>
    <s v="West"/>
    <s v="Rohan"/>
    <s v="New"/>
    <n v="1"/>
    <n v="750"/>
    <n v="0"/>
    <n v="750"/>
    <n v="493.6"/>
    <n v="256.39999999999998"/>
    <s v="UPI"/>
  </r>
  <r>
    <s v="ORD0013"/>
    <d v="2026-05-13T00:00:00"/>
    <s v="P001"/>
    <s v="Notebook"/>
    <x v="1"/>
    <s v="West"/>
    <s v="Meera"/>
    <s v="Regular"/>
    <n v="5"/>
    <n v="60"/>
    <n v="0"/>
    <n v="300"/>
    <n v="42.88"/>
    <n v="85.6"/>
    <s v="Cash"/>
  </r>
  <r>
    <s v="ORD0121"/>
    <d v="2026-05-15T00:00:00"/>
    <s v="P002"/>
    <s v="Pen Pack"/>
    <x v="1"/>
    <s v="South"/>
    <s v="Diya"/>
    <s v="Member"/>
    <n v="5"/>
    <n v="40"/>
    <n v="0"/>
    <n v="200"/>
    <n v="29.44"/>
    <n v="52.8"/>
    <s v="Cash"/>
  </r>
  <r>
    <s v="ORD0122"/>
    <d v="2026-05-16T00:00:00"/>
    <s v="P003"/>
    <s v="Water Bottle"/>
    <x v="0"/>
    <s v="North"/>
    <s v="Meera"/>
    <s v="Member"/>
    <n v="3"/>
    <n v="180"/>
    <n v="0"/>
    <n v="540"/>
    <n v="122.02"/>
    <n v="173.94"/>
    <s v="Card"/>
  </r>
  <r>
    <s v="ORD0097"/>
    <d v="2026-05-16T00:00:00"/>
    <s v="P008"/>
    <s v="Coffee Mug"/>
    <x v="3"/>
    <s v="North"/>
    <s v="Rohan"/>
    <s v="Member"/>
    <n v="7"/>
    <n v="220"/>
    <n v="0.05"/>
    <n v="1463"/>
    <n v="132.19999999999999"/>
    <n v="537.6"/>
    <s v="Cash"/>
  </r>
  <r>
    <s v="ORD0108"/>
    <d v="2026-05-20T00:00:00"/>
    <s v="P006"/>
    <s v="Wireless Mouse"/>
    <x v="2"/>
    <s v="East"/>
    <s v="Aarav"/>
    <s v="Member"/>
    <n v="7"/>
    <n v="650"/>
    <n v="0.15"/>
    <n v="3867.5"/>
    <n v="371.16"/>
    <n v="1269.3800000000001"/>
    <s v="Card"/>
  </r>
  <r>
    <s v="ORD0096"/>
    <d v="2026-05-24T00:00:00"/>
    <s v="P005"/>
    <s v="USB Drive"/>
    <x v="2"/>
    <s v="South"/>
    <s v="Kabir"/>
    <s v="Member"/>
    <n v="4"/>
    <n v="450"/>
    <n v="0.15"/>
    <n v="1530"/>
    <n v="334.28"/>
    <n v="192.88"/>
    <s v="Card"/>
  </r>
  <r>
    <s v="ORD0110"/>
    <d v="2026-05-25T00:00:00"/>
    <s v="P007"/>
    <s v="Desk Lamp"/>
    <x v="3"/>
    <s v="West"/>
    <s v="Meera"/>
    <s v="Regular"/>
    <n v="8"/>
    <n v="520"/>
    <n v="0.15"/>
    <n v="3536"/>
    <n v="400.93"/>
    <n v="328.56"/>
    <s v="Card"/>
  </r>
  <r>
    <s v="ORD0118"/>
    <d v="2026-05-25T00:00:00"/>
    <s v="P004"/>
    <s v="Backpack"/>
    <x v="0"/>
    <s v="South"/>
    <s v="Aarav"/>
    <s v="Member"/>
    <n v="2"/>
    <n v="750"/>
    <n v="0.15"/>
    <n v="1275"/>
    <n v="569.85"/>
    <n v="135.30000000000001"/>
    <s v="Cash"/>
  </r>
  <r>
    <s v="ORD0001"/>
    <d v="2026-05-25T00:00:00"/>
    <s v="P003"/>
    <s v="Water Bottle"/>
    <x v="0"/>
    <s v="North"/>
    <s v="Meera"/>
    <s v="Member"/>
    <n v="7"/>
    <n v="180"/>
    <n v="0.15"/>
    <n v="1071"/>
    <n v="120.56"/>
    <n v="227.08"/>
    <s v="Cash"/>
  </r>
  <r>
    <s v="ORD0019"/>
    <d v="2026-05-25T00:00:00"/>
    <s v="P003"/>
    <s v="Water Bottle"/>
    <x v="0"/>
    <s v="South"/>
    <s v="Meera"/>
    <s v="New"/>
    <n v="2"/>
    <n v="180"/>
    <n v="0"/>
    <n v="360"/>
    <n v="104.69"/>
    <n v="150.62"/>
    <s v="Cash"/>
  </r>
  <r>
    <s v="ORD0054"/>
    <d v="2026-06-01T00:00:00"/>
    <s v="P007"/>
    <s v="Desk Lamp"/>
    <x v="3"/>
    <s v="East"/>
    <s v="Diya"/>
    <s v="New"/>
    <n v="1"/>
    <n v="520"/>
    <n v="0"/>
    <n v="520"/>
    <n v="360.94"/>
    <n v="159.06"/>
    <s v="Cash"/>
  </r>
  <r>
    <s v="ORD0138"/>
    <d v="2026-06-03T00:00:00"/>
    <s v="P001"/>
    <s v="Notebook"/>
    <x v="1"/>
    <s v="South"/>
    <s v="Rohan"/>
    <s v="Member"/>
    <n v="6"/>
    <n v="60"/>
    <n v="0.1"/>
    <n v="324"/>
    <n v="43.16"/>
    <n v="65.040000000000006"/>
    <s v="Cash"/>
  </r>
  <r>
    <s v="ORD0053"/>
    <d v="2026-06-04T00:00:00"/>
    <s v="P001"/>
    <s v="Notebook"/>
    <x v="1"/>
    <s v="North"/>
    <s v="Diya"/>
    <s v="New"/>
    <n v="6"/>
    <n v="60"/>
    <n v="0.15"/>
    <n v="306"/>
    <n v="44.05"/>
    <n v="41.7"/>
    <s v="Cash"/>
  </r>
  <r>
    <s v="ORD0078"/>
    <d v="2026-06-05T00:00:00"/>
    <s v="P002"/>
    <s v="Pen Pack"/>
    <x v="1"/>
    <s v="East"/>
    <s v="Diya"/>
    <s v="Member"/>
    <n v="1"/>
    <n v="40"/>
    <n v="0.05"/>
    <n v="38"/>
    <n v="25.28"/>
    <n v="12.72"/>
    <s v="UPI"/>
  </r>
  <r>
    <s v="ORD0139"/>
    <d v="2026-06-05T00:00:00"/>
    <s v="P003"/>
    <s v="Water Bottle"/>
    <x v="0"/>
    <s v="North"/>
    <s v="Aarav"/>
    <s v="Regular"/>
    <n v="1"/>
    <n v="180"/>
    <n v="0.15"/>
    <n v="153"/>
    <n v="119.1"/>
    <n v="33.9"/>
    <s v="Cash"/>
  </r>
  <r>
    <s v="ORD0144"/>
    <d v="2026-06-06T00:00:00"/>
    <s v="P005"/>
    <s v="USB Drive"/>
    <x v="2"/>
    <s v="West"/>
    <s v="Meera"/>
    <s v="Regular"/>
    <n v="8"/>
    <n v="450"/>
    <n v="0.15"/>
    <n v="3060"/>
    <n v="353.34"/>
    <n v="233.28"/>
    <s v="Cash"/>
  </r>
  <r>
    <s v="ORD0046"/>
    <d v="2026-06-08T00:00:00"/>
    <s v="P001"/>
    <s v="Notebook"/>
    <x v="1"/>
    <s v="East"/>
    <s v="Kabir"/>
    <s v="Regular"/>
    <n v="4"/>
    <n v="60"/>
    <n v="0"/>
    <n v="240"/>
    <n v="38.85"/>
    <n v="84.6"/>
    <s v="UPI"/>
  </r>
  <r>
    <s v="ORD0112"/>
    <d v="2026-06-10T00:00:00"/>
    <s v="P007"/>
    <s v="Desk Lamp"/>
    <x v="3"/>
    <s v="South"/>
    <s v="Kabir"/>
    <s v="Member"/>
    <n v="6"/>
    <n v="520"/>
    <n v="0.05"/>
    <n v="2964"/>
    <n v="333.09"/>
    <n v="965.46"/>
    <s v="UPI"/>
  </r>
  <r>
    <s v="ORD0084"/>
    <d v="2026-06-10T00:00:00"/>
    <s v="P007"/>
    <s v="Desk Lamp"/>
    <x v="3"/>
    <s v="South"/>
    <s v="Kabir"/>
    <s v="Regular"/>
    <n v="5"/>
    <n v="520"/>
    <n v="0.15"/>
    <n v="2210"/>
    <n v="400.58"/>
    <n v="207.1"/>
    <s v="Card"/>
  </r>
  <r>
    <s v="ORD0130"/>
    <d v="2026-06-11T00:00:00"/>
    <s v="P005"/>
    <s v="USB Drive"/>
    <x v="2"/>
    <s v="West"/>
    <s v="Rohan"/>
    <s v="Regular"/>
    <n v="7"/>
    <n v="450"/>
    <n v="0.05"/>
    <n v="2992.5"/>
    <n v="285.64"/>
    <n v="993.02"/>
    <s v="Card"/>
  </r>
  <r>
    <s v="ORD0068"/>
    <d v="2026-06-12T00:00:00"/>
    <s v="P001"/>
    <s v="Notebook"/>
    <x v="1"/>
    <s v="South"/>
    <s v="Meera"/>
    <s v="Regular"/>
    <n v="7"/>
    <n v="60"/>
    <n v="0.1"/>
    <n v="378"/>
    <n v="45.1"/>
    <n v="62.3"/>
    <s v="Card"/>
  </r>
  <r>
    <s v="ORD0089"/>
    <d v="2026-06-14T00:00:00"/>
    <s v="P001"/>
    <s v="Notebook"/>
    <x v="1"/>
    <s v="East"/>
    <s v="Diya"/>
    <s v="Regular"/>
    <n v="4"/>
    <n v="60"/>
    <n v="0.1"/>
    <n v="216"/>
    <n v="36.42"/>
    <n v="70.319999999999993"/>
    <s v="Card"/>
  </r>
  <r>
    <s v="ORD0017"/>
    <d v="2026-06-16T00:00:00"/>
    <s v="P003"/>
    <s v="Water Bottle"/>
    <x v="0"/>
    <s v="East"/>
    <s v="Kabir"/>
    <s v="Member"/>
    <n v="1"/>
    <n v="180"/>
    <n v="0.1"/>
    <n v="162"/>
    <n v="127.97"/>
    <n v="34.03"/>
    <s v="UPI"/>
  </r>
  <r>
    <s v="ORD0064"/>
    <d v="2026-06-17T00:00:00"/>
    <s v="P003"/>
    <s v="Water Bottle"/>
    <x v="0"/>
    <s v="South"/>
    <s v="Diya"/>
    <s v="Regular"/>
    <n v="1"/>
    <n v="180"/>
    <n v="0.1"/>
    <n v="162"/>
    <n v="130.16"/>
    <n v="31.84"/>
    <s v="UPI"/>
  </r>
  <r>
    <s v="ORD0088"/>
    <d v="2026-06-17T00:00:00"/>
    <s v="P005"/>
    <s v="USB Drive"/>
    <x v="2"/>
    <s v="East"/>
    <s v="Meera"/>
    <s v="New"/>
    <n v="7"/>
    <n v="450"/>
    <n v="0.1"/>
    <n v="2835"/>
    <n v="271.87"/>
    <n v="931.91"/>
    <s v="Card"/>
  </r>
  <r>
    <s v="ORD0057"/>
    <d v="2026-06-20T00:00:00"/>
    <s v="P008"/>
    <s v="Coffee Mug"/>
    <x v="3"/>
    <s v="West"/>
    <s v="Kabir"/>
    <s v="Regular"/>
    <n v="2"/>
    <n v="220"/>
    <n v="0.05"/>
    <n v="418"/>
    <n v="169.98"/>
    <n v="78.040000000000006"/>
    <s v="Card"/>
  </r>
  <r>
    <s v="ORD0070"/>
    <d v="2026-06-24T00:00:00"/>
    <s v="P005"/>
    <s v="USB Drive"/>
    <x v="2"/>
    <s v="East"/>
    <s v="Kabir"/>
    <s v="New"/>
    <n v="3"/>
    <n v="450"/>
    <n v="0.1"/>
    <n v="1215"/>
    <n v="289.25"/>
    <n v="347.25"/>
    <s v="UPI"/>
  </r>
  <r>
    <s v="ORD0129"/>
    <d v="2026-06-24T00:00:00"/>
    <s v="P006"/>
    <s v="Wireless Mouse"/>
    <x v="2"/>
    <s v="West"/>
    <s v="Kabir"/>
    <s v="Regular"/>
    <n v="4"/>
    <n v="650"/>
    <n v="0.05"/>
    <n v="2470"/>
    <n v="499.25"/>
    <n v="473"/>
    <s v="Card"/>
  </r>
  <r>
    <s v="ORD0119"/>
    <d v="2026-06-26T00:00:00"/>
    <s v="P008"/>
    <s v="Coffee Mug"/>
    <x v="3"/>
    <s v="East"/>
    <s v="Kabir"/>
    <s v="Regular"/>
    <n v="7"/>
    <n v="220"/>
    <n v="0.15"/>
    <n v="1309"/>
    <n v="124.39"/>
    <n v="438.27"/>
    <s v="Cash"/>
  </r>
  <r>
    <s v="ORD0015"/>
    <d v="2026-07-07T00:00:00"/>
    <s v="P008"/>
    <s v="Coffee Mug"/>
    <x v="3"/>
    <s v="South"/>
    <s v="Rohan"/>
    <s v="New"/>
    <n v="1"/>
    <n v="220"/>
    <n v="0.05"/>
    <n v="209"/>
    <n v="164.74"/>
    <n v="44.26"/>
    <s v="UPI"/>
  </r>
  <r>
    <s v="ORD0002"/>
    <d v="2026-07-09T00:00:00"/>
    <s v="P004"/>
    <s v="Backpack"/>
    <x v="0"/>
    <s v="East"/>
    <s v="Aarav"/>
    <s v="Regular"/>
    <n v="1"/>
    <n v="750"/>
    <n v="0"/>
    <n v="750"/>
    <n v="587.4"/>
    <n v="162.6"/>
    <s v="Cash"/>
  </r>
  <r>
    <s v="ORD0055"/>
    <d v="2026-07-09T00:00:00"/>
    <s v="P008"/>
    <s v="Coffee Mug"/>
    <x v="3"/>
    <s v="North"/>
    <s v="Meera"/>
    <s v="New"/>
    <n v="1"/>
    <n v="220"/>
    <n v="0"/>
    <n v="220"/>
    <n v="171.4"/>
    <n v="48.6"/>
    <s v="UPI"/>
  </r>
  <r>
    <s v="ORD0047"/>
    <d v="2026-07-12T00:00:00"/>
    <s v="P003"/>
    <s v="Water Bottle"/>
    <x v="0"/>
    <s v="North"/>
    <s v="Diya"/>
    <s v="Member"/>
    <n v="5"/>
    <n v="180"/>
    <n v="0"/>
    <n v="900"/>
    <n v="128.11000000000001"/>
    <n v="259.45"/>
    <s v="Card"/>
  </r>
  <r>
    <s v="ORD0020"/>
    <d v="2026-07-13T00:00:00"/>
    <s v="P003"/>
    <s v="Water Bottle"/>
    <x v="0"/>
    <s v="West"/>
    <s v="Rohan"/>
    <s v="Member"/>
    <n v="3"/>
    <n v="180"/>
    <n v="0.05"/>
    <n v="513"/>
    <n v="108.07"/>
    <n v="188.79"/>
    <s v="Card"/>
  </r>
  <r>
    <s v="ORD0033"/>
    <d v="2026-07-14T00:00:00"/>
    <s v="P004"/>
    <s v="Backpack"/>
    <x v="0"/>
    <s v="East"/>
    <s v="Meera"/>
    <s v="New"/>
    <n v="4"/>
    <n v="750"/>
    <n v="0.1"/>
    <n v="2700"/>
    <n v="441.97"/>
    <n v="932.12"/>
    <s v="UPI"/>
  </r>
  <r>
    <s v="ORD0034"/>
    <d v="2026-07-16T00:00:00"/>
    <s v="P008"/>
    <s v="Coffee Mug"/>
    <x v="3"/>
    <s v="West"/>
    <s v="Diya"/>
    <s v="Regular"/>
    <n v="5"/>
    <n v="220"/>
    <n v="0.05"/>
    <n v="1045"/>
    <n v="155.19"/>
    <n v="269.05"/>
    <s v="Cash"/>
  </r>
  <r>
    <s v="ORD0100"/>
    <d v="2026-07-23T00:00:00"/>
    <s v="P004"/>
    <s v="Backpack"/>
    <x v="0"/>
    <s v="North"/>
    <s v="Meera"/>
    <s v="Regular"/>
    <n v="7"/>
    <n v="750"/>
    <n v="0.15"/>
    <n v="4462.5"/>
    <n v="461.44"/>
    <n v="1232.42"/>
    <s v="Cash"/>
  </r>
  <r>
    <s v="ORD0140"/>
    <d v="2026-07-23T00:00:00"/>
    <s v="P004"/>
    <s v="Backpack"/>
    <x v="0"/>
    <s v="North"/>
    <s v="Aarav"/>
    <s v="New"/>
    <n v="7"/>
    <n v="750"/>
    <n v="0"/>
    <n v="5250"/>
    <n v="442.26"/>
    <n v="2154.1799999999998"/>
    <s v="Cash"/>
  </r>
  <r>
    <s v="ORD0105"/>
    <d v="2026-07-23T00:00:00"/>
    <s v="P008"/>
    <s v="Coffee Mug"/>
    <x v="3"/>
    <s v="South"/>
    <s v="Meera"/>
    <s v="Regular"/>
    <n v="3"/>
    <n v="220"/>
    <n v="0.05"/>
    <n v="627"/>
    <n v="141.72999999999999"/>
    <n v="201.81"/>
    <s v="Cash"/>
  </r>
  <r>
    <s v="ORD0062"/>
    <d v="2026-07-25T00:00:00"/>
    <s v="P006"/>
    <s v="Wireless Mouse"/>
    <x v="2"/>
    <s v="East"/>
    <s v="Rohan"/>
    <s v="Member"/>
    <n v="3"/>
    <n v="650"/>
    <n v="0.1"/>
    <n v="1755"/>
    <n v="480.18"/>
    <n v="314.45999999999998"/>
    <s v="Cash"/>
  </r>
  <r>
    <s v="ORD0115"/>
    <d v="2026-07-27T00:00:00"/>
    <s v="P002"/>
    <s v="Pen Pack"/>
    <x v="1"/>
    <s v="East"/>
    <s v="Meera"/>
    <s v="Regular"/>
    <n v="4"/>
    <n v="40"/>
    <n v="0.1"/>
    <n v="144"/>
    <n v="27.3"/>
    <n v="34.799999999999997"/>
    <s v="Card"/>
  </r>
  <r>
    <s v="ORD0003"/>
    <d v="2026-07-28T00:00:00"/>
    <s v="P004"/>
    <s v="Backpack"/>
    <x v="0"/>
    <s v="West"/>
    <s v="Kabir"/>
    <s v="Member"/>
    <n v="1"/>
    <n v="750"/>
    <n v="0.15"/>
    <n v="637.5"/>
    <n v="527.98"/>
    <n v="109.52"/>
    <s v="UPI"/>
  </r>
  <r>
    <s v="ORD0043"/>
    <d v="2026-07-29T00:00:00"/>
    <s v="P004"/>
    <s v="Backpack"/>
    <x v="0"/>
    <s v="North"/>
    <s v="Rohan"/>
    <s v="New"/>
    <n v="6"/>
    <n v="750"/>
    <n v="0.1"/>
    <n v="4050"/>
    <n v="449.81"/>
    <n v="1351.14"/>
    <s v="Cash"/>
  </r>
  <r>
    <s v="ORD0143"/>
    <d v="2026-07-30T00:00:00"/>
    <s v="P002"/>
    <s v="Pen Pack"/>
    <x v="1"/>
    <s v="East"/>
    <s v="Aarav"/>
    <s v="Member"/>
    <n v="5"/>
    <n v="40"/>
    <n v="0.05"/>
    <n v="190"/>
    <n v="25.57"/>
    <n v="62.15"/>
    <s v="Card"/>
  </r>
  <r>
    <s v="ORD0083"/>
    <d v="2026-07-31T00:00:00"/>
    <s v="P005"/>
    <s v="USB Drive"/>
    <x v="2"/>
    <s v="West"/>
    <s v="Kabir"/>
    <s v="New"/>
    <n v="8"/>
    <n v="450"/>
    <n v="0.1"/>
    <n v="3240"/>
    <n v="333.78"/>
    <n v="569.76"/>
    <s v="Cash"/>
  </r>
  <r>
    <s v="ORD0128"/>
    <d v="2026-08-03T00:00:00"/>
    <s v="P003"/>
    <s v="Water Bottle"/>
    <x v="0"/>
    <s v="South"/>
    <s v="Kabir"/>
    <s v="New"/>
    <n v="6"/>
    <n v="180"/>
    <n v="0.1"/>
    <n v="972"/>
    <n v="129.21"/>
    <n v="196.74"/>
    <s v="UPI"/>
  </r>
  <r>
    <s v="ORD0133"/>
    <d v="2026-08-07T00:00:00"/>
    <s v="P007"/>
    <s v="Desk Lamp"/>
    <x v="3"/>
    <s v="South"/>
    <s v="Aarav"/>
    <s v="New"/>
    <n v="6"/>
    <n v="520"/>
    <n v="0.1"/>
    <n v="2808"/>
    <n v="407.73"/>
    <n v="361.62"/>
    <s v="Cash"/>
  </r>
  <r>
    <s v="ORD0092"/>
    <d v="2026-08-14T00:00:00"/>
    <s v="P003"/>
    <s v="Water Bottle"/>
    <x v="0"/>
    <s v="East"/>
    <s v="Kabir"/>
    <s v="Member"/>
    <n v="1"/>
    <n v="180"/>
    <n v="0"/>
    <n v="180"/>
    <n v="103.05"/>
    <n v="76.95"/>
    <s v="UPI"/>
  </r>
  <r>
    <s v="ORD0072"/>
    <d v="2026-08-15T00:00:00"/>
    <s v="P007"/>
    <s v="Desk Lamp"/>
    <x v="3"/>
    <s v="West"/>
    <s v="Kabir"/>
    <s v="Member"/>
    <n v="2"/>
    <n v="520"/>
    <n v="0.1"/>
    <n v="936"/>
    <n v="403.85"/>
    <n v="128.30000000000001"/>
    <s v="UPI"/>
  </r>
  <r>
    <s v="ORD0025"/>
    <d v="2026-08-15T00:00:00"/>
    <s v="P002"/>
    <s v="Pen Pack"/>
    <x v="1"/>
    <s v="East"/>
    <s v="Meera"/>
    <s v="Regular"/>
    <n v="8"/>
    <n v="40"/>
    <n v="0"/>
    <n v="320"/>
    <n v="26.71"/>
    <n v="106.32"/>
    <s v="Cash"/>
  </r>
  <r>
    <s v="ORD0106"/>
    <d v="2026-08-18T00:00:00"/>
    <s v="P003"/>
    <s v="Water Bottle"/>
    <x v="0"/>
    <s v="East"/>
    <s v="Kabir"/>
    <s v="Regular"/>
    <n v="3"/>
    <n v="180"/>
    <n v="0.15"/>
    <n v="459"/>
    <n v="106.38"/>
    <n v="139.86000000000001"/>
    <s v="Card"/>
  </r>
  <r>
    <s v="ORD0028"/>
    <d v="2026-08-19T00:00:00"/>
    <s v="P008"/>
    <s v="Coffee Mug"/>
    <x v="3"/>
    <s v="South"/>
    <s v="Diya"/>
    <s v="New"/>
    <n v="6"/>
    <n v="220"/>
    <n v="0.05"/>
    <n v="1254"/>
    <n v="155.47"/>
    <n v="321.18"/>
    <s v="UPI"/>
  </r>
  <r>
    <s v="ORD0007"/>
    <d v="2026-08-20T00:00:00"/>
    <s v="P007"/>
    <s v="Desk Lamp"/>
    <x v="3"/>
    <s v="South"/>
    <s v="Meera"/>
    <s v="New"/>
    <n v="5"/>
    <n v="520"/>
    <n v="0.1"/>
    <n v="2340"/>
    <n v="351.19"/>
    <n v="584.04999999999995"/>
    <s v="UPI"/>
  </r>
  <r>
    <s v="ORD0063"/>
    <d v="2026-08-21T00:00:00"/>
    <s v="P008"/>
    <s v="Coffee Mug"/>
    <x v="3"/>
    <s v="West"/>
    <s v="Kabir"/>
    <s v="New"/>
    <n v="4"/>
    <n v="220"/>
    <n v="0"/>
    <n v="880"/>
    <n v="167.4"/>
    <n v="210.4"/>
    <s v="Cash"/>
  </r>
  <r>
    <s v="ORD0145"/>
    <d v="2026-08-24T00:00:00"/>
    <s v="P003"/>
    <s v="Water Bottle"/>
    <x v="0"/>
    <s v="South"/>
    <s v="Rohan"/>
    <s v="New"/>
    <n v="5"/>
    <n v="180"/>
    <n v="0.15"/>
    <n v="765"/>
    <n v="137.1"/>
    <n v="79.5"/>
    <s v="UPI"/>
  </r>
  <r>
    <s v="ORD0021"/>
    <d v="2026-08-26T00:00:00"/>
    <s v="P001"/>
    <s v="Notebook"/>
    <x v="1"/>
    <s v="East"/>
    <s v="Rohan"/>
    <s v="Regular"/>
    <n v="1"/>
    <n v="60"/>
    <n v="0.15"/>
    <n v="51"/>
    <n v="45.97"/>
    <n v="5.03"/>
    <s v="Card"/>
  </r>
  <r>
    <s v="ORD0051"/>
    <d v="2026-08-26T00:00:00"/>
    <s v="P003"/>
    <s v="Water Bottle"/>
    <x v="0"/>
    <s v="North"/>
    <s v="Diya"/>
    <s v="New"/>
    <n v="4"/>
    <n v="180"/>
    <n v="0.15"/>
    <n v="612"/>
    <n v="133.69"/>
    <n v="77.239999999999995"/>
    <s v="Cash"/>
  </r>
  <r>
    <s v="ORD0111"/>
    <d v="2026-08-30T00:00:00"/>
    <s v="P001"/>
    <s v="Notebook"/>
    <x v="1"/>
    <s v="East"/>
    <s v="Diya"/>
    <s v="Member"/>
    <n v="5"/>
    <n v="60"/>
    <n v="0.05"/>
    <n v="285"/>
    <n v="36.950000000000003"/>
    <n v="100.25"/>
    <s v="UPI"/>
  </r>
  <r>
    <s v="ORD0069"/>
    <d v="2026-09-04T00:00:00"/>
    <s v="P008"/>
    <s v="Coffee Mug"/>
    <x v="3"/>
    <s v="West"/>
    <s v="Kabir"/>
    <s v="New"/>
    <n v="1"/>
    <n v="220"/>
    <n v="0.15"/>
    <n v="187"/>
    <n v="131.02000000000001"/>
    <n v="55.98"/>
    <s v="Card"/>
  </r>
  <r>
    <s v="ORD0098"/>
    <d v="2026-09-04T00:00:00"/>
    <s v="P002"/>
    <s v="Pen Pack"/>
    <x v="1"/>
    <s v="South"/>
    <s v="Diya"/>
    <s v="Member"/>
    <n v="3"/>
    <n v="40"/>
    <n v="0.1"/>
    <n v="108"/>
    <n v="26.23"/>
    <n v="29.31"/>
    <s v="UPI"/>
  </r>
  <r>
    <s v="ORD0005"/>
    <d v="2026-09-06T00:00:00"/>
    <s v="P003"/>
    <s v="Water Bottle"/>
    <x v="0"/>
    <s v="West"/>
    <s v="Meera"/>
    <s v="Regular"/>
    <n v="6"/>
    <n v="180"/>
    <n v="0.15"/>
    <n v="918"/>
    <n v="105.8"/>
    <n v="283.2"/>
    <s v="Cash"/>
  </r>
  <r>
    <s v="ORD0061"/>
    <d v="2026-09-07T00:00:00"/>
    <s v="P001"/>
    <s v="Notebook"/>
    <x v="1"/>
    <s v="South"/>
    <s v="Meera"/>
    <s v="Member"/>
    <n v="4"/>
    <n v="60"/>
    <n v="0.15"/>
    <n v="204"/>
    <n v="40.51"/>
    <n v="41.96"/>
    <s v="Cash"/>
  </r>
  <r>
    <s v="ORD0027"/>
    <d v="2026-09-07T00:00:00"/>
    <s v="P007"/>
    <s v="Desk Lamp"/>
    <x v="3"/>
    <s v="West"/>
    <s v="Aarav"/>
    <s v="New"/>
    <n v="7"/>
    <n v="520"/>
    <n v="0.1"/>
    <n v="3276"/>
    <n v="315.61"/>
    <n v="1066.73"/>
    <s v="Cash"/>
  </r>
  <r>
    <s v="ORD0052"/>
    <d v="2026-09-08T00:00:00"/>
    <s v="P007"/>
    <s v="Desk Lamp"/>
    <x v="3"/>
    <s v="West"/>
    <s v="Rohan"/>
    <s v="New"/>
    <n v="7"/>
    <n v="520"/>
    <n v="0.05"/>
    <n v="3458"/>
    <n v="348.04"/>
    <n v="1021.72"/>
    <s v="Cash"/>
  </r>
  <r>
    <s v="ORD0045"/>
    <d v="2026-09-10T00:00:00"/>
    <s v="P003"/>
    <s v="Water Bottle"/>
    <x v="0"/>
    <s v="East"/>
    <s v="Aarav"/>
    <s v="New"/>
    <n v="1"/>
    <n v="180"/>
    <n v="0.1"/>
    <n v="162"/>
    <n v="120.53"/>
    <n v="41.47"/>
    <s v="Card"/>
  </r>
  <r>
    <s v="ORD0131"/>
    <d v="2026-09-10T00:00:00"/>
    <s v="P001"/>
    <s v="Notebook"/>
    <x v="1"/>
    <s v="East"/>
    <s v="Rohan"/>
    <s v="Regular"/>
    <n v="8"/>
    <n v="60"/>
    <n v="0.05"/>
    <n v="456"/>
    <n v="43.09"/>
    <n v="111.28"/>
    <s v="Card"/>
  </r>
  <r>
    <s v="ORD0116"/>
    <d v="2026-09-10T00:00:00"/>
    <s v="P003"/>
    <s v="Water Bottle"/>
    <x v="0"/>
    <s v="North"/>
    <s v="Diya"/>
    <s v="New"/>
    <n v="2"/>
    <n v="180"/>
    <n v="0.15"/>
    <n v="306"/>
    <n v="107.6"/>
    <n v="90.8"/>
    <s v="Cash"/>
  </r>
  <r>
    <s v="ORD0042"/>
    <d v="2026-09-11T00:00:00"/>
    <s v="P001"/>
    <s v="Notebook"/>
    <x v="1"/>
    <s v="East"/>
    <s v="Diya"/>
    <s v="Regular"/>
    <n v="3"/>
    <n v="60"/>
    <n v="0"/>
    <n v="180"/>
    <n v="37.130000000000003"/>
    <n v="68.61"/>
    <s v="Cash"/>
  </r>
  <r>
    <s v="ORD0008"/>
    <d v="2026-09-11T00:00:00"/>
    <s v="P001"/>
    <s v="Notebook"/>
    <x v="1"/>
    <s v="West"/>
    <s v="Rohan"/>
    <s v="Member"/>
    <n v="2"/>
    <n v="60"/>
    <n v="0.05"/>
    <n v="114"/>
    <n v="33.04"/>
    <n v="47.92"/>
    <s v="Card"/>
  </r>
  <r>
    <s v="ORD0044"/>
    <d v="2026-09-15T00:00:00"/>
    <s v="P006"/>
    <s v="Wireless Mouse"/>
    <x v="2"/>
    <s v="South"/>
    <s v="Rohan"/>
    <s v="Member"/>
    <n v="4"/>
    <n v="650"/>
    <n v="0.05"/>
    <n v="2470"/>
    <n v="364.08"/>
    <n v="1013.68"/>
    <s v="Card"/>
  </r>
  <r>
    <s v="ORD0149"/>
    <d v="2026-09-18T00:00:00"/>
    <s v="P003"/>
    <s v="Water Bottle"/>
    <x v="0"/>
    <s v="East"/>
    <s v="Rohan"/>
    <s v="Member"/>
    <n v="8"/>
    <n v="180"/>
    <n v="0.15"/>
    <n v="1224"/>
    <n v="104.37"/>
    <n v="389.04"/>
    <s v="Cash"/>
  </r>
  <r>
    <s v="ORD0023"/>
    <d v="2026-09-18T00:00:00"/>
    <s v="P008"/>
    <s v="Coffee Mug"/>
    <x v="3"/>
    <s v="South"/>
    <s v="Rohan"/>
    <s v="New"/>
    <n v="2"/>
    <n v="220"/>
    <n v="0"/>
    <n v="440"/>
    <n v="153.71"/>
    <n v="132.58000000000001"/>
    <s v="UPI"/>
  </r>
  <r>
    <s v="ORD0080"/>
    <d v="2026-09-21T00:00:00"/>
    <s v="P007"/>
    <s v="Desk Lamp"/>
    <x v="3"/>
    <s v="North"/>
    <s v="Meera"/>
    <s v="New"/>
    <n v="4"/>
    <n v="520"/>
    <n v="0.15"/>
    <n v="1768"/>
    <n v="313.51"/>
    <n v="513.96"/>
    <s v="Card"/>
  </r>
  <r>
    <s v="ORD0048"/>
    <d v="2026-09-21T00:00:00"/>
    <s v="P007"/>
    <s v="Desk Lamp"/>
    <x v="3"/>
    <s v="East"/>
    <s v="Kabir"/>
    <s v="Regular"/>
    <n v="4"/>
    <n v="520"/>
    <n v="0.05"/>
    <n v="1976"/>
    <n v="358.13"/>
    <n v="543.48"/>
    <s v="Cash"/>
  </r>
  <r>
    <s v="ORD0109"/>
    <d v="2026-09-22T00:00:00"/>
    <s v="P005"/>
    <s v="USB Drive"/>
    <x v="2"/>
    <s v="South"/>
    <s v="Aarav"/>
    <s v="New"/>
    <n v="3"/>
    <n v="450"/>
    <n v="0.1"/>
    <n v="1215"/>
    <n v="303.58999999999997"/>
    <n v="304.23"/>
    <s v="UPI"/>
  </r>
  <r>
    <s v="ORD0029"/>
    <d v="2026-09-26T00:00:00"/>
    <s v="P007"/>
    <s v="Desk Lamp"/>
    <x v="3"/>
    <s v="West"/>
    <s v="Diya"/>
    <s v="New"/>
    <n v="5"/>
    <n v="520"/>
    <n v="0.15"/>
    <n v="2210"/>
    <n v="411.28"/>
    <n v="153.6"/>
    <s v="Cash"/>
  </r>
  <r>
    <s v="ORD0104"/>
    <d v="2026-09-27T00:00:00"/>
    <s v="P003"/>
    <s v="Water Bottle"/>
    <x v="0"/>
    <s v="West"/>
    <s v="Aarav"/>
    <s v="Regular"/>
    <n v="3"/>
    <n v="180"/>
    <n v="0.1"/>
    <n v="486"/>
    <n v="131.44999999999999"/>
    <n v="91.65"/>
    <s v="Card"/>
  </r>
  <r>
    <s v="ORD0114"/>
    <d v="2026-09-27T00:00:00"/>
    <s v="P006"/>
    <s v="Wireless Mouse"/>
    <x v="2"/>
    <s v="North"/>
    <s v="Diya"/>
    <s v="Member"/>
    <n v="7"/>
    <n v="650"/>
    <n v="0.05"/>
    <n v="4322.5"/>
    <n v="399.68"/>
    <n v="1524.74"/>
    <s v="Card"/>
  </r>
  <r>
    <s v="ORD0076"/>
    <d v="2026-09-28T00:00:00"/>
    <s v="P008"/>
    <s v="Coffee Mug"/>
    <x v="3"/>
    <s v="North"/>
    <s v="Kabir"/>
    <s v="Member"/>
    <n v="4"/>
    <n v="220"/>
    <n v="0.1"/>
    <n v="792"/>
    <n v="167.53"/>
    <n v="121.88"/>
    <s v="Card"/>
  </r>
  <r>
    <s v="ORD0016"/>
    <d v="2026-10-01T00:00:00"/>
    <s v="P008"/>
    <s v="Coffee Mug"/>
    <x v="3"/>
    <s v="North"/>
    <s v="Aarav"/>
    <s v="New"/>
    <n v="5"/>
    <n v="220"/>
    <n v="0.05"/>
    <n v="1045"/>
    <n v="153.36000000000001"/>
    <n v="278.2"/>
    <s v="Card"/>
  </r>
  <r>
    <s v="ORD0049"/>
    <d v="2026-10-04T00:00:00"/>
    <s v="P007"/>
    <s v="Desk Lamp"/>
    <x v="3"/>
    <s v="South"/>
    <s v="Rohan"/>
    <s v="Regular"/>
    <n v="3"/>
    <n v="520"/>
    <n v="0.1"/>
    <n v="1404"/>
    <n v="373.34"/>
    <n v="283.98"/>
    <s v="Cash"/>
  </r>
  <r>
    <s v="ORD0036"/>
    <d v="2026-10-06T00:00:00"/>
    <s v="P008"/>
    <s v="Coffee Mug"/>
    <x v="3"/>
    <s v="South"/>
    <s v="Diya"/>
    <s v="New"/>
    <n v="4"/>
    <n v="220"/>
    <n v="0"/>
    <n v="880"/>
    <n v="129.13"/>
    <n v="363.48"/>
    <s v="UPI"/>
  </r>
  <r>
    <s v="ORD0091"/>
    <d v="2026-10-08T00:00:00"/>
    <s v="P002"/>
    <s v="Pen Pack"/>
    <x v="1"/>
    <s v="West"/>
    <s v="Aarav"/>
    <s v="New"/>
    <n v="8"/>
    <n v="40"/>
    <n v="0.05"/>
    <n v="304"/>
    <n v="31.09"/>
    <n v="55.28"/>
    <s v="Card"/>
  </r>
  <r>
    <s v="ORD0120"/>
    <d v="2026-10-10T00:00:00"/>
    <s v="P003"/>
    <s v="Water Bottle"/>
    <x v="0"/>
    <s v="East"/>
    <s v="Kabir"/>
    <s v="Member"/>
    <n v="1"/>
    <n v="180"/>
    <n v="0.15"/>
    <n v="153"/>
    <n v="141.82"/>
    <n v="11.18"/>
    <s v="UPI"/>
  </r>
  <r>
    <s v="ORD0038"/>
    <d v="2026-10-10T00:00:00"/>
    <s v="P004"/>
    <s v="Backpack"/>
    <x v="0"/>
    <s v="East"/>
    <s v="Aarav"/>
    <s v="Member"/>
    <n v="7"/>
    <n v="750"/>
    <n v="0.15"/>
    <n v="4462.5"/>
    <n v="458.31"/>
    <n v="1254.33"/>
    <s v="Card"/>
  </r>
  <r>
    <s v="ORD0073"/>
    <d v="2026-10-12T00:00:00"/>
    <s v="P002"/>
    <s v="Pen Pack"/>
    <x v="1"/>
    <s v="North"/>
    <s v="Aarav"/>
    <s v="New"/>
    <n v="8"/>
    <n v="40"/>
    <n v="0.05"/>
    <n v="304"/>
    <n v="30.83"/>
    <n v="57.36"/>
    <s v="Card"/>
  </r>
  <r>
    <s v="ORD0094"/>
    <d v="2026-10-13T00:00:00"/>
    <s v="P003"/>
    <s v="Water Bottle"/>
    <x v="0"/>
    <s v="South"/>
    <s v="Meera"/>
    <s v="Member"/>
    <n v="7"/>
    <n v="180"/>
    <n v="0.1"/>
    <n v="1134"/>
    <n v="110.78"/>
    <n v="358.54"/>
    <s v="Car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d v="2026-01-06T00:00:00"/>
    <s v="P003"/>
    <s v="Water Bottle"/>
    <s v="Accessories"/>
    <s v="North"/>
    <s v="Diya"/>
    <s v="Member"/>
    <n v="4"/>
    <n v="180"/>
    <n v="0.05"/>
    <n v="684"/>
    <n v="127.09"/>
    <n v="175.64"/>
    <s v="Cash"/>
    <x v="0"/>
  </r>
  <r>
    <x v="1"/>
    <d v="2026-01-09T00:00:00"/>
    <s v="P003"/>
    <s v="Water Bottle"/>
    <s v="Accessories"/>
    <s v="North"/>
    <s v="Kabir"/>
    <s v="New"/>
    <n v="6"/>
    <n v="180"/>
    <n v="0.15"/>
    <n v="918"/>
    <n v="137.97"/>
    <n v="90.18"/>
    <s v="Cash"/>
    <x v="0"/>
  </r>
  <r>
    <x v="2"/>
    <d v="2026-01-15T00:00:00"/>
    <s v="P004"/>
    <s v="Backpack"/>
    <s v="Accessories"/>
    <s v="South"/>
    <s v="Diya"/>
    <s v="Member"/>
    <n v="5"/>
    <n v="750"/>
    <n v="0"/>
    <n v="3750"/>
    <n v="472.9"/>
    <n v="1385.5"/>
    <s v="Card"/>
    <x v="1"/>
  </r>
  <r>
    <x v="3"/>
    <d v="2026-01-18T00:00:00"/>
    <s v="P002"/>
    <s v="Pen Pack"/>
    <s v="Stationery"/>
    <s v="East"/>
    <s v="Rohan"/>
    <s v="Regular"/>
    <n v="8"/>
    <n v="40"/>
    <n v="0.15"/>
    <n v="272"/>
    <n v="23.33"/>
    <n v="85.36"/>
    <s v="Cash"/>
    <x v="0"/>
  </r>
  <r>
    <x v="4"/>
    <d v="2026-01-22T00:00:00"/>
    <s v="P004"/>
    <s v="Backpack"/>
    <s v="Accessories"/>
    <s v="North"/>
    <s v="Kabir"/>
    <s v="Member"/>
    <n v="5"/>
    <n v="750"/>
    <n v="0.1"/>
    <n v="3375"/>
    <n v="458.38"/>
    <n v="1083.0999999999999"/>
    <s v="UPI"/>
    <x v="1"/>
  </r>
  <r>
    <x v="5"/>
    <d v="2026-01-22T00:00:00"/>
    <s v="P001"/>
    <s v="Notebook"/>
    <s v="Stationery"/>
    <s v="East"/>
    <s v="Meera"/>
    <s v="New"/>
    <n v="1"/>
    <n v="60"/>
    <n v="0.15"/>
    <n v="51"/>
    <n v="36.71"/>
    <n v="14.29"/>
    <s v="Cash"/>
    <x v="0"/>
  </r>
  <r>
    <x v="6"/>
    <d v="2026-01-25T00:00:00"/>
    <s v="P005"/>
    <s v="USB Drive"/>
    <s v="Electronics"/>
    <s v="West"/>
    <s v="Aarav"/>
    <s v="Regular"/>
    <n v="3"/>
    <n v="450"/>
    <n v="0.15"/>
    <n v="1147.5"/>
    <n v="262.89999999999998"/>
    <n v="358.8"/>
    <s v="UPI"/>
    <x v="0"/>
  </r>
  <r>
    <x v="7"/>
    <d v="2026-01-27T00:00:00"/>
    <s v="P001"/>
    <s v="Notebook"/>
    <s v="Stationery"/>
    <s v="East"/>
    <s v="Rohan"/>
    <s v="Member"/>
    <n v="3"/>
    <n v="60"/>
    <n v="0.05"/>
    <n v="171"/>
    <n v="38.01"/>
    <n v="56.97"/>
    <s v="Card"/>
    <x v="0"/>
  </r>
  <r>
    <x v="8"/>
    <d v="2026-01-30T00:00:00"/>
    <s v="P004"/>
    <s v="Backpack"/>
    <s v="Accessories"/>
    <s v="East"/>
    <s v="Aarav"/>
    <s v="Regular"/>
    <n v="3"/>
    <n v="750"/>
    <n v="0.1"/>
    <n v="2025"/>
    <n v="461.71"/>
    <n v="639.87"/>
    <s v="Card"/>
    <x v="1"/>
  </r>
  <r>
    <x v="9"/>
    <d v="2026-02-02T00:00:00"/>
    <s v="P002"/>
    <s v="Pen Pack"/>
    <s v="Stationery"/>
    <s v="North"/>
    <s v="Aarav"/>
    <s v="Member"/>
    <n v="2"/>
    <n v="40"/>
    <n v="0.1"/>
    <n v="72"/>
    <n v="24.03"/>
    <n v="23.94"/>
    <s v="Card"/>
    <x v="0"/>
  </r>
  <r>
    <x v="10"/>
    <d v="2026-02-04T00:00:00"/>
    <s v="P005"/>
    <s v="USB Drive"/>
    <s v="Electronics"/>
    <s v="East"/>
    <s v="Kabir"/>
    <s v="New"/>
    <n v="8"/>
    <n v="450"/>
    <n v="0.05"/>
    <n v="3420"/>
    <n v="284.48"/>
    <n v="1144.1600000000001"/>
    <s v="Cash"/>
    <x v="1"/>
  </r>
  <r>
    <x v="11"/>
    <d v="2026-02-05T00:00:00"/>
    <s v="P001"/>
    <s v="Notebook"/>
    <s v="Stationery"/>
    <s v="East"/>
    <s v="Meera"/>
    <s v="New"/>
    <n v="2"/>
    <n v="60"/>
    <n v="0.1"/>
    <n v="108"/>
    <n v="42.96"/>
    <n v="22.08"/>
    <s v="UPI"/>
    <x v="0"/>
  </r>
  <r>
    <x v="12"/>
    <d v="2026-02-06T00:00:00"/>
    <s v="P006"/>
    <s v="Wireless Mouse"/>
    <s v="Electronics"/>
    <s v="West"/>
    <s v="Kabir"/>
    <s v="Member"/>
    <n v="7"/>
    <n v="650"/>
    <n v="0.15"/>
    <n v="3867.5"/>
    <n v="498.11"/>
    <n v="380.73"/>
    <s v="UPI"/>
    <x v="1"/>
  </r>
  <r>
    <x v="13"/>
    <d v="2026-02-06T00:00:00"/>
    <s v="P008"/>
    <s v="Coffee Mug"/>
    <s v="Home"/>
    <s v="South"/>
    <s v="Diya"/>
    <s v="Member"/>
    <n v="8"/>
    <n v="220"/>
    <n v="0.1"/>
    <n v="1584"/>
    <n v="147.71"/>
    <n v="402.32"/>
    <s v="Card"/>
    <x v="0"/>
  </r>
  <r>
    <x v="14"/>
    <d v="2026-02-06T00:00:00"/>
    <s v="P001"/>
    <s v="Notebook"/>
    <s v="Stationery"/>
    <s v="South"/>
    <s v="Aarav"/>
    <s v="Regular"/>
    <n v="8"/>
    <n v="60"/>
    <n v="0.1"/>
    <n v="432"/>
    <n v="35.159999999999997"/>
    <n v="150.72"/>
    <s v="Card"/>
    <x v="0"/>
  </r>
  <r>
    <x v="15"/>
    <d v="2026-02-08T00:00:00"/>
    <s v="P006"/>
    <s v="Wireless Mouse"/>
    <s v="Electronics"/>
    <s v="West"/>
    <s v="Meera"/>
    <s v="Member"/>
    <n v="6"/>
    <n v="650"/>
    <n v="0"/>
    <n v="3900"/>
    <n v="438.95"/>
    <n v="1266.3"/>
    <s v="UPI"/>
    <x v="1"/>
  </r>
  <r>
    <x v="16"/>
    <d v="2026-02-08T00:00:00"/>
    <s v="P002"/>
    <s v="Pen Pack"/>
    <s v="Stationery"/>
    <s v="West"/>
    <s v="Diya"/>
    <s v="Member"/>
    <n v="8"/>
    <n v="40"/>
    <n v="0"/>
    <n v="320"/>
    <n v="28.37"/>
    <n v="93.04"/>
    <s v="Card"/>
    <x v="0"/>
  </r>
  <r>
    <x v="17"/>
    <d v="2026-02-08T00:00:00"/>
    <s v="P003"/>
    <s v="Water Bottle"/>
    <s v="Accessories"/>
    <s v="South"/>
    <s v="Kabir"/>
    <s v="Member"/>
    <n v="1"/>
    <n v="180"/>
    <n v="0.1"/>
    <n v="162"/>
    <n v="118.55"/>
    <n v="43.45"/>
    <s v="UPI"/>
    <x v="0"/>
  </r>
  <r>
    <x v="18"/>
    <d v="2026-02-10T00:00:00"/>
    <s v="P002"/>
    <s v="Pen Pack"/>
    <s v="Stationery"/>
    <s v="North"/>
    <s v="Meera"/>
    <s v="New"/>
    <n v="6"/>
    <n v="40"/>
    <n v="0"/>
    <n v="240"/>
    <n v="28.41"/>
    <n v="69.540000000000006"/>
    <s v="UPI"/>
    <x v="0"/>
  </r>
  <r>
    <x v="19"/>
    <d v="2026-02-11T00:00:00"/>
    <s v="P008"/>
    <s v="Coffee Mug"/>
    <s v="Home"/>
    <s v="South"/>
    <s v="Rohan"/>
    <s v="Member"/>
    <n v="7"/>
    <n v="220"/>
    <n v="0.1"/>
    <n v="1386"/>
    <n v="131.9"/>
    <n v="462.7"/>
    <s v="Cash"/>
    <x v="0"/>
  </r>
  <r>
    <x v="20"/>
    <d v="2026-02-16T00:00:00"/>
    <s v="P001"/>
    <s v="Notebook"/>
    <s v="Stationery"/>
    <s v="North"/>
    <s v="Diya"/>
    <s v="New"/>
    <n v="2"/>
    <n v="60"/>
    <n v="0.1"/>
    <n v="108"/>
    <n v="40.299999999999997"/>
    <n v="27.4"/>
    <s v="UPI"/>
    <x v="0"/>
  </r>
  <r>
    <x v="21"/>
    <d v="2026-02-16T00:00:00"/>
    <s v="P005"/>
    <s v="USB Drive"/>
    <s v="Electronics"/>
    <s v="West"/>
    <s v="Rohan"/>
    <s v="New"/>
    <n v="7"/>
    <n v="450"/>
    <n v="0.05"/>
    <n v="2992.5"/>
    <n v="309.74"/>
    <n v="824.32"/>
    <s v="Card"/>
    <x v="1"/>
  </r>
  <r>
    <x v="22"/>
    <d v="2026-02-18T00:00:00"/>
    <s v="P003"/>
    <s v="Water Bottle"/>
    <s v="Accessories"/>
    <s v="North"/>
    <s v="Aarav"/>
    <s v="Member"/>
    <n v="3"/>
    <n v="180"/>
    <n v="0.05"/>
    <n v="513"/>
    <n v="116.86"/>
    <n v="162.41999999999999"/>
    <s v="UPI"/>
    <x v="0"/>
  </r>
  <r>
    <x v="23"/>
    <d v="2026-02-19T00:00:00"/>
    <s v="P002"/>
    <s v="Pen Pack"/>
    <s v="Stationery"/>
    <s v="East"/>
    <s v="Rohan"/>
    <s v="Member"/>
    <n v="4"/>
    <n v="40"/>
    <n v="0.05"/>
    <n v="152"/>
    <n v="24.45"/>
    <n v="54.2"/>
    <s v="Card"/>
    <x v="0"/>
  </r>
  <r>
    <x v="24"/>
    <d v="2026-02-23T00:00:00"/>
    <s v="P003"/>
    <s v="Water Bottle"/>
    <s v="Accessories"/>
    <s v="South"/>
    <s v="Diya"/>
    <s v="Member"/>
    <n v="3"/>
    <n v="180"/>
    <n v="0.1"/>
    <n v="486"/>
    <n v="129.71"/>
    <n v="96.87"/>
    <s v="Cash"/>
    <x v="0"/>
  </r>
  <r>
    <x v="25"/>
    <d v="2026-02-24T00:00:00"/>
    <s v="P007"/>
    <s v="Desk Lamp"/>
    <s v="Home"/>
    <s v="South"/>
    <s v="Rohan"/>
    <s v="New"/>
    <n v="1"/>
    <n v="520"/>
    <n v="0.05"/>
    <n v="494"/>
    <n v="313.64999999999998"/>
    <n v="180.35"/>
    <s v="Cash"/>
    <x v="0"/>
  </r>
  <r>
    <x v="26"/>
    <d v="2026-02-28T00:00:00"/>
    <s v="P004"/>
    <s v="Backpack"/>
    <s v="Accessories"/>
    <s v="West"/>
    <s v="Aarav"/>
    <s v="New"/>
    <n v="3"/>
    <n v="750"/>
    <n v="0"/>
    <n v="2250"/>
    <n v="596.32000000000005"/>
    <n v="461.04"/>
    <s v="Card"/>
    <x v="1"/>
  </r>
  <r>
    <x v="27"/>
    <d v="2026-03-04T00:00:00"/>
    <s v="P003"/>
    <s v="Water Bottle"/>
    <s v="Accessories"/>
    <s v="North"/>
    <s v="Diya"/>
    <s v="Member"/>
    <n v="2"/>
    <n v="180"/>
    <n v="0.15"/>
    <n v="306"/>
    <n v="133.24"/>
    <n v="39.520000000000003"/>
    <s v="Cash"/>
    <x v="0"/>
  </r>
  <r>
    <x v="28"/>
    <d v="2026-03-04T00:00:00"/>
    <s v="P004"/>
    <s v="Backpack"/>
    <s v="Accessories"/>
    <s v="East"/>
    <s v="Diya"/>
    <s v="New"/>
    <n v="4"/>
    <n v="750"/>
    <n v="0"/>
    <n v="3000"/>
    <n v="517.52"/>
    <n v="929.92"/>
    <s v="Cash"/>
    <x v="1"/>
  </r>
  <r>
    <x v="29"/>
    <d v="2026-03-07T00:00:00"/>
    <s v="P001"/>
    <s v="Notebook"/>
    <s v="Stationery"/>
    <s v="South"/>
    <s v="Rohan"/>
    <s v="Member"/>
    <n v="1"/>
    <n v="60"/>
    <n v="0.1"/>
    <n v="54"/>
    <n v="44.71"/>
    <n v="9.2899999999999991"/>
    <s v="Card"/>
    <x v="0"/>
  </r>
  <r>
    <x v="30"/>
    <d v="2026-03-11T00:00:00"/>
    <s v="P001"/>
    <s v="Notebook"/>
    <s v="Stationery"/>
    <s v="East"/>
    <s v="Rohan"/>
    <s v="Regular"/>
    <n v="6"/>
    <n v="60"/>
    <n v="0.05"/>
    <n v="342"/>
    <n v="41.56"/>
    <n v="92.64"/>
    <s v="UPI"/>
    <x v="0"/>
  </r>
  <r>
    <x v="31"/>
    <d v="2026-03-15T00:00:00"/>
    <s v="P003"/>
    <s v="Water Bottle"/>
    <s v="Accessories"/>
    <s v="North"/>
    <s v="Kabir"/>
    <s v="Member"/>
    <n v="6"/>
    <n v="180"/>
    <n v="0.15"/>
    <n v="918"/>
    <n v="113.78"/>
    <n v="235.32"/>
    <s v="Card"/>
    <x v="0"/>
  </r>
  <r>
    <x v="32"/>
    <d v="2026-03-15T00:00:00"/>
    <s v="P008"/>
    <s v="Coffee Mug"/>
    <s v="Home"/>
    <s v="North"/>
    <s v="Diya"/>
    <s v="Member"/>
    <n v="7"/>
    <n v="220"/>
    <n v="0"/>
    <n v="1540"/>
    <n v="140.29"/>
    <n v="557.97"/>
    <s v="Cash"/>
    <x v="0"/>
  </r>
  <r>
    <x v="33"/>
    <d v="2026-03-16T00:00:00"/>
    <s v="P007"/>
    <s v="Desk Lamp"/>
    <s v="Home"/>
    <s v="East"/>
    <s v="Aarav"/>
    <s v="New"/>
    <n v="2"/>
    <n v="520"/>
    <n v="0.1"/>
    <n v="936"/>
    <n v="413.85"/>
    <n v="108.3"/>
    <s v="Cash"/>
    <x v="0"/>
  </r>
  <r>
    <x v="34"/>
    <d v="2026-03-17T00:00:00"/>
    <s v="P007"/>
    <s v="Desk Lamp"/>
    <s v="Home"/>
    <s v="West"/>
    <s v="Kabir"/>
    <s v="New"/>
    <n v="7"/>
    <n v="520"/>
    <n v="0.05"/>
    <n v="3458"/>
    <n v="354.94"/>
    <n v="973.42"/>
    <s v="Cash"/>
    <x v="1"/>
  </r>
  <r>
    <x v="35"/>
    <d v="2026-03-20T00:00:00"/>
    <s v="P008"/>
    <s v="Coffee Mug"/>
    <s v="Home"/>
    <s v="South"/>
    <s v="Kabir"/>
    <s v="New"/>
    <n v="8"/>
    <n v="220"/>
    <n v="0.1"/>
    <n v="1584"/>
    <n v="135.84"/>
    <n v="497.28"/>
    <s v="Card"/>
    <x v="0"/>
  </r>
  <r>
    <x v="36"/>
    <d v="2026-03-21T00:00:00"/>
    <s v="P002"/>
    <s v="Pen Pack"/>
    <s v="Stationery"/>
    <s v="West"/>
    <s v="Aarav"/>
    <s v="Regular"/>
    <n v="6"/>
    <n v="40"/>
    <n v="0"/>
    <n v="240"/>
    <n v="29.41"/>
    <n v="63.54"/>
    <s v="UPI"/>
    <x v="0"/>
  </r>
  <r>
    <x v="37"/>
    <d v="2026-03-22T00:00:00"/>
    <s v="P006"/>
    <s v="Wireless Mouse"/>
    <s v="Electronics"/>
    <s v="East"/>
    <s v="Rohan"/>
    <s v="Regular"/>
    <n v="4"/>
    <n v="650"/>
    <n v="0"/>
    <n v="2600"/>
    <n v="487.14"/>
    <n v="651.44000000000005"/>
    <s v="Cash"/>
    <x v="1"/>
  </r>
  <r>
    <x v="38"/>
    <d v="2026-03-24T00:00:00"/>
    <s v="P006"/>
    <s v="Wireless Mouse"/>
    <s v="Electronics"/>
    <s v="South"/>
    <s v="Diya"/>
    <s v="Regular"/>
    <n v="6"/>
    <n v="650"/>
    <n v="0.05"/>
    <n v="3705"/>
    <n v="490.51"/>
    <n v="761.94"/>
    <s v="UPI"/>
    <x v="1"/>
  </r>
  <r>
    <x v="39"/>
    <d v="2026-03-25T00:00:00"/>
    <s v="P007"/>
    <s v="Desk Lamp"/>
    <s v="Home"/>
    <s v="East"/>
    <s v="Meera"/>
    <s v="Member"/>
    <n v="4"/>
    <n v="520"/>
    <n v="0.05"/>
    <n v="1976"/>
    <n v="359.04"/>
    <n v="539.84"/>
    <s v="UPI"/>
    <x v="0"/>
  </r>
  <r>
    <x v="40"/>
    <d v="2026-03-25T00:00:00"/>
    <s v="P001"/>
    <s v="Notebook"/>
    <s v="Stationery"/>
    <s v="West"/>
    <s v="Kabir"/>
    <s v="New"/>
    <n v="4"/>
    <n v="60"/>
    <n v="0.15"/>
    <n v="204"/>
    <n v="47.42"/>
    <n v="14.32"/>
    <s v="Card"/>
    <x v="0"/>
  </r>
  <r>
    <x v="41"/>
    <d v="2026-03-27T00:00:00"/>
    <s v="P007"/>
    <s v="Desk Lamp"/>
    <s v="Home"/>
    <s v="North"/>
    <s v="Kabir"/>
    <s v="New"/>
    <n v="8"/>
    <n v="520"/>
    <n v="0"/>
    <n v="4160"/>
    <n v="377.51"/>
    <n v="1139.92"/>
    <s v="Card"/>
    <x v="1"/>
  </r>
  <r>
    <x v="42"/>
    <d v="2026-03-28T00:00:00"/>
    <s v="P005"/>
    <s v="USB Drive"/>
    <s v="Electronics"/>
    <s v="North"/>
    <s v="Meera"/>
    <s v="New"/>
    <n v="4"/>
    <n v="450"/>
    <n v="0"/>
    <n v="1800"/>
    <n v="254.88"/>
    <n v="780.48"/>
    <s v="Cash"/>
    <x v="0"/>
  </r>
  <r>
    <x v="43"/>
    <d v="2026-03-28T00:00:00"/>
    <s v="P004"/>
    <s v="Backpack"/>
    <s v="Accessories"/>
    <s v="North"/>
    <s v="Aarav"/>
    <s v="Regular"/>
    <n v="3"/>
    <n v="750"/>
    <n v="0.1"/>
    <n v="2025"/>
    <n v="526.37"/>
    <n v="445.89"/>
    <s v="Card"/>
    <x v="1"/>
  </r>
  <r>
    <x v="44"/>
    <d v="2026-03-29T00:00:00"/>
    <s v="P008"/>
    <s v="Coffee Mug"/>
    <s v="Home"/>
    <s v="North"/>
    <s v="Meera"/>
    <s v="Member"/>
    <n v="2"/>
    <n v="220"/>
    <n v="0.15"/>
    <n v="374"/>
    <n v="125.2"/>
    <n v="123.6"/>
    <s v="UPI"/>
    <x v="0"/>
  </r>
  <r>
    <x v="45"/>
    <d v="2026-04-03T00:00:00"/>
    <s v="P004"/>
    <s v="Backpack"/>
    <s v="Accessories"/>
    <s v="South"/>
    <s v="Kabir"/>
    <s v="New"/>
    <n v="6"/>
    <n v="750"/>
    <n v="0"/>
    <n v="4500"/>
    <n v="538.05999999999995"/>
    <n v="1271.6400000000001"/>
    <s v="Card"/>
    <x v="1"/>
  </r>
  <r>
    <x v="46"/>
    <d v="2026-04-06T00:00:00"/>
    <s v="P001"/>
    <s v="Notebook"/>
    <s v="Stationery"/>
    <s v="North"/>
    <s v="Kabir"/>
    <s v="New"/>
    <n v="2"/>
    <n v="60"/>
    <n v="0"/>
    <n v="120"/>
    <n v="40.68"/>
    <n v="38.64"/>
    <s v="UPI"/>
    <x v="0"/>
  </r>
  <r>
    <x v="47"/>
    <d v="2026-04-06T00:00:00"/>
    <s v="P008"/>
    <s v="Coffee Mug"/>
    <s v="Home"/>
    <s v="East"/>
    <s v="Aarav"/>
    <s v="New"/>
    <n v="8"/>
    <n v="220"/>
    <n v="0.05"/>
    <n v="1672"/>
    <n v="160.56"/>
    <n v="387.52"/>
    <s v="UPI"/>
    <x v="0"/>
  </r>
  <r>
    <x v="48"/>
    <d v="2026-04-06T00:00:00"/>
    <s v="P008"/>
    <s v="Coffee Mug"/>
    <s v="Home"/>
    <s v="North"/>
    <s v="Kabir"/>
    <s v="Regular"/>
    <n v="8"/>
    <n v="220"/>
    <n v="0.1"/>
    <n v="1584"/>
    <n v="152.11000000000001"/>
    <n v="367.12"/>
    <s v="Cash"/>
    <x v="0"/>
  </r>
  <r>
    <x v="49"/>
    <d v="2026-04-06T00:00:00"/>
    <s v="P005"/>
    <s v="USB Drive"/>
    <s v="Electronics"/>
    <s v="West"/>
    <s v="Meera"/>
    <s v="Member"/>
    <n v="6"/>
    <n v="450"/>
    <n v="0.15"/>
    <n v="2295"/>
    <n v="334.17"/>
    <n v="289.98"/>
    <s v="Cash"/>
    <x v="1"/>
  </r>
  <r>
    <x v="50"/>
    <d v="2026-04-07T00:00:00"/>
    <s v="P002"/>
    <s v="Pen Pack"/>
    <s v="Stationery"/>
    <s v="East"/>
    <s v="Rohan"/>
    <s v="Member"/>
    <n v="2"/>
    <n v="40"/>
    <n v="0.15"/>
    <n v="68"/>
    <n v="23.52"/>
    <n v="20.96"/>
    <s v="Card"/>
    <x v="0"/>
  </r>
  <r>
    <x v="51"/>
    <d v="2026-04-11T00:00:00"/>
    <s v="P005"/>
    <s v="USB Drive"/>
    <s v="Electronics"/>
    <s v="South"/>
    <s v="Meera"/>
    <s v="New"/>
    <n v="7"/>
    <n v="450"/>
    <n v="0.15"/>
    <n v="2677.5"/>
    <n v="347.83"/>
    <n v="242.69"/>
    <s v="UPI"/>
    <x v="1"/>
  </r>
  <r>
    <x v="52"/>
    <d v="2026-04-14T00:00:00"/>
    <s v="P004"/>
    <s v="Backpack"/>
    <s v="Accessories"/>
    <s v="South"/>
    <s v="Meera"/>
    <s v="Regular"/>
    <n v="2"/>
    <n v="750"/>
    <n v="0.1"/>
    <n v="1350"/>
    <n v="479.1"/>
    <n v="391.8"/>
    <s v="Cash"/>
    <x v="0"/>
  </r>
  <r>
    <x v="53"/>
    <d v="2026-04-14T00:00:00"/>
    <s v="P004"/>
    <s v="Backpack"/>
    <s v="Accessories"/>
    <s v="East"/>
    <s v="Kabir"/>
    <s v="Regular"/>
    <n v="8"/>
    <n v="750"/>
    <n v="0.05"/>
    <n v="5700"/>
    <n v="589.07000000000005"/>
    <n v="987.44"/>
    <s v="Cash"/>
    <x v="1"/>
  </r>
  <r>
    <x v="54"/>
    <d v="2026-04-19T00:00:00"/>
    <s v="P001"/>
    <s v="Notebook"/>
    <s v="Stationery"/>
    <s v="North"/>
    <s v="Aarav"/>
    <s v="Regular"/>
    <n v="5"/>
    <n v="60"/>
    <n v="0.1"/>
    <n v="270"/>
    <n v="44.91"/>
    <n v="45.45"/>
    <s v="Cash"/>
    <x v="0"/>
  </r>
  <r>
    <x v="55"/>
    <d v="2026-04-20T00:00:00"/>
    <s v="P001"/>
    <s v="Notebook"/>
    <s v="Stationery"/>
    <s v="West"/>
    <s v="Aarav"/>
    <s v="Regular"/>
    <n v="3"/>
    <n v="60"/>
    <n v="0.1"/>
    <n v="162"/>
    <n v="40.57"/>
    <n v="40.29"/>
    <s v="UPI"/>
    <x v="0"/>
  </r>
  <r>
    <x v="56"/>
    <d v="2026-04-20T00:00:00"/>
    <s v="P003"/>
    <s v="Water Bottle"/>
    <s v="Accessories"/>
    <s v="South"/>
    <s v="Aarav"/>
    <s v="Member"/>
    <n v="1"/>
    <n v="180"/>
    <n v="0.05"/>
    <n v="171"/>
    <n v="106.44"/>
    <n v="64.56"/>
    <s v="Cash"/>
    <x v="0"/>
  </r>
  <r>
    <x v="57"/>
    <d v="2026-04-22T00:00:00"/>
    <s v="P003"/>
    <s v="Water Bottle"/>
    <s v="Accessories"/>
    <s v="South"/>
    <s v="Rohan"/>
    <s v="New"/>
    <n v="8"/>
    <n v="180"/>
    <n v="0.15"/>
    <n v="1224"/>
    <n v="100.45"/>
    <n v="420.4"/>
    <s v="Cash"/>
    <x v="0"/>
  </r>
  <r>
    <x v="58"/>
    <d v="2026-04-24T00:00:00"/>
    <s v="P007"/>
    <s v="Desk Lamp"/>
    <s v="Home"/>
    <s v="North"/>
    <s v="Rohan"/>
    <s v="Regular"/>
    <n v="6"/>
    <n v="520"/>
    <n v="0.15"/>
    <n v="2652"/>
    <n v="391.62"/>
    <n v="302.27999999999997"/>
    <s v="Card"/>
    <x v="1"/>
  </r>
  <r>
    <x v="59"/>
    <d v="2026-04-26T00:00:00"/>
    <s v="P002"/>
    <s v="Pen Pack"/>
    <s v="Stationery"/>
    <s v="East"/>
    <s v="Aarav"/>
    <s v="New"/>
    <n v="1"/>
    <n v="40"/>
    <n v="0.1"/>
    <n v="36"/>
    <n v="26.8"/>
    <n v="9.1999999999999993"/>
    <s v="Cash"/>
    <x v="0"/>
  </r>
  <r>
    <x v="60"/>
    <d v="2026-04-30T00:00:00"/>
    <s v="P001"/>
    <s v="Notebook"/>
    <s v="Stationery"/>
    <s v="West"/>
    <s v="Kabir"/>
    <s v="Member"/>
    <n v="5"/>
    <n v="60"/>
    <n v="0.05"/>
    <n v="285"/>
    <n v="45.96"/>
    <n v="55.2"/>
    <s v="Cash"/>
    <x v="0"/>
  </r>
  <r>
    <x v="61"/>
    <d v="2026-05-09T00:00:00"/>
    <s v="P004"/>
    <s v="Backpack"/>
    <s v="Accessories"/>
    <s v="South"/>
    <s v="Rohan"/>
    <s v="New"/>
    <n v="1"/>
    <n v="750"/>
    <n v="0.1"/>
    <n v="675"/>
    <n v="482.64"/>
    <n v="192.36"/>
    <s v="Card"/>
    <x v="0"/>
  </r>
  <r>
    <x v="62"/>
    <d v="2026-05-13T00:00:00"/>
    <s v="P004"/>
    <s v="Backpack"/>
    <s v="Accessories"/>
    <s v="West"/>
    <s v="Rohan"/>
    <s v="New"/>
    <n v="1"/>
    <n v="750"/>
    <n v="0"/>
    <n v="750"/>
    <n v="493.6"/>
    <n v="256.39999999999998"/>
    <s v="UPI"/>
    <x v="0"/>
  </r>
  <r>
    <x v="63"/>
    <d v="2026-05-13T00:00:00"/>
    <s v="P001"/>
    <s v="Notebook"/>
    <s v="Stationery"/>
    <s v="West"/>
    <s v="Meera"/>
    <s v="Regular"/>
    <n v="5"/>
    <n v="60"/>
    <n v="0"/>
    <n v="300"/>
    <n v="42.88"/>
    <n v="85.6"/>
    <s v="Cash"/>
    <x v="0"/>
  </r>
  <r>
    <x v="64"/>
    <d v="2026-05-15T00:00:00"/>
    <s v="P002"/>
    <s v="Pen Pack"/>
    <s v="Stationery"/>
    <s v="South"/>
    <s v="Diya"/>
    <s v="Member"/>
    <n v="5"/>
    <n v="40"/>
    <n v="0"/>
    <n v="200"/>
    <n v="29.44"/>
    <n v="52.8"/>
    <s v="Cash"/>
    <x v="0"/>
  </r>
  <r>
    <x v="65"/>
    <d v="2026-05-16T00:00:00"/>
    <s v="P003"/>
    <s v="Water Bottle"/>
    <s v="Accessories"/>
    <s v="North"/>
    <s v="Meera"/>
    <s v="Member"/>
    <n v="3"/>
    <n v="180"/>
    <n v="0"/>
    <n v="540"/>
    <n v="122.02"/>
    <n v="173.94"/>
    <s v="Card"/>
    <x v="0"/>
  </r>
  <r>
    <x v="66"/>
    <d v="2026-05-16T00:00:00"/>
    <s v="P008"/>
    <s v="Coffee Mug"/>
    <s v="Home"/>
    <s v="North"/>
    <s v="Rohan"/>
    <s v="Member"/>
    <n v="7"/>
    <n v="220"/>
    <n v="0.05"/>
    <n v="1463"/>
    <n v="132.19999999999999"/>
    <n v="537.6"/>
    <s v="Cash"/>
    <x v="0"/>
  </r>
  <r>
    <x v="67"/>
    <d v="2026-05-20T00:00:00"/>
    <s v="P006"/>
    <s v="Wireless Mouse"/>
    <s v="Electronics"/>
    <s v="East"/>
    <s v="Aarav"/>
    <s v="Member"/>
    <n v="7"/>
    <n v="650"/>
    <n v="0.15"/>
    <n v="3867.5"/>
    <n v="371.16"/>
    <n v="1269.3800000000001"/>
    <s v="Card"/>
    <x v="1"/>
  </r>
  <r>
    <x v="68"/>
    <d v="2026-05-24T00:00:00"/>
    <s v="P005"/>
    <s v="USB Drive"/>
    <s v="Electronics"/>
    <s v="South"/>
    <s v="Kabir"/>
    <s v="Member"/>
    <n v="4"/>
    <n v="450"/>
    <n v="0.15"/>
    <n v="1530"/>
    <n v="334.28"/>
    <n v="192.88"/>
    <s v="Card"/>
    <x v="0"/>
  </r>
  <r>
    <x v="69"/>
    <d v="2026-05-25T00:00:00"/>
    <s v="P007"/>
    <s v="Desk Lamp"/>
    <s v="Home"/>
    <s v="West"/>
    <s v="Meera"/>
    <s v="Regular"/>
    <n v="8"/>
    <n v="520"/>
    <n v="0.15"/>
    <n v="3536"/>
    <n v="400.93"/>
    <n v="328.56"/>
    <s v="Card"/>
    <x v="1"/>
  </r>
  <r>
    <x v="70"/>
    <d v="2026-05-25T00:00:00"/>
    <s v="P004"/>
    <s v="Backpack"/>
    <s v="Accessories"/>
    <s v="South"/>
    <s v="Aarav"/>
    <s v="Member"/>
    <n v="2"/>
    <n v="750"/>
    <n v="0.15"/>
    <n v="1275"/>
    <n v="569.85"/>
    <n v="135.30000000000001"/>
    <s v="Cash"/>
    <x v="0"/>
  </r>
  <r>
    <x v="71"/>
    <d v="2026-05-25T00:00:00"/>
    <s v="P003"/>
    <s v="Water Bottle"/>
    <s v="Accessories"/>
    <s v="North"/>
    <s v="Meera"/>
    <s v="Member"/>
    <n v="7"/>
    <n v="180"/>
    <n v="0.15"/>
    <n v="1071"/>
    <n v="120.56"/>
    <n v="227.08"/>
    <s v="Cash"/>
    <x v="0"/>
  </r>
  <r>
    <x v="72"/>
    <d v="2026-05-25T00:00:00"/>
    <s v="P003"/>
    <s v="Water Bottle"/>
    <s v="Accessories"/>
    <s v="South"/>
    <s v="Meera"/>
    <s v="New"/>
    <n v="2"/>
    <n v="180"/>
    <n v="0"/>
    <n v="360"/>
    <n v="104.69"/>
    <n v="150.62"/>
    <s v="Cash"/>
    <x v="0"/>
  </r>
  <r>
    <x v="73"/>
    <d v="2026-06-01T00:00:00"/>
    <s v="P007"/>
    <s v="Desk Lamp"/>
    <s v="Home"/>
    <s v="East"/>
    <s v="Diya"/>
    <s v="New"/>
    <n v="1"/>
    <n v="520"/>
    <n v="0"/>
    <n v="520"/>
    <n v="360.94"/>
    <n v="159.06"/>
    <s v="Cash"/>
    <x v="0"/>
  </r>
  <r>
    <x v="74"/>
    <d v="2026-06-03T00:00:00"/>
    <s v="P001"/>
    <s v="Notebook"/>
    <s v="Stationery"/>
    <s v="South"/>
    <s v="Rohan"/>
    <s v="Member"/>
    <n v="6"/>
    <n v="60"/>
    <n v="0.1"/>
    <n v="324"/>
    <n v="43.16"/>
    <n v="65.040000000000006"/>
    <s v="Cash"/>
    <x v="0"/>
  </r>
  <r>
    <x v="75"/>
    <d v="2026-06-04T00:00:00"/>
    <s v="P001"/>
    <s v="Notebook"/>
    <s v="Stationery"/>
    <s v="North"/>
    <s v="Diya"/>
    <s v="New"/>
    <n v="6"/>
    <n v="60"/>
    <n v="0.15"/>
    <n v="306"/>
    <n v="44.05"/>
    <n v="41.7"/>
    <s v="Cash"/>
    <x v="0"/>
  </r>
  <r>
    <x v="76"/>
    <d v="2026-06-05T00:00:00"/>
    <s v="P002"/>
    <s v="Pen Pack"/>
    <s v="Stationery"/>
    <s v="East"/>
    <s v="Diya"/>
    <s v="Member"/>
    <n v="1"/>
    <n v="40"/>
    <n v="0.05"/>
    <n v="38"/>
    <n v="25.28"/>
    <n v="12.72"/>
    <s v="UPI"/>
    <x v="0"/>
  </r>
  <r>
    <x v="77"/>
    <d v="2026-06-05T00:00:00"/>
    <s v="P003"/>
    <s v="Water Bottle"/>
    <s v="Accessories"/>
    <s v="North"/>
    <s v="Aarav"/>
    <s v="Regular"/>
    <n v="1"/>
    <n v="180"/>
    <n v="0.15"/>
    <n v="153"/>
    <n v="119.1"/>
    <n v="33.9"/>
    <s v="Cash"/>
    <x v="0"/>
  </r>
  <r>
    <x v="78"/>
    <d v="2026-06-06T00:00:00"/>
    <s v="P005"/>
    <s v="USB Drive"/>
    <s v="Electronics"/>
    <s v="West"/>
    <s v="Meera"/>
    <s v="Regular"/>
    <n v="8"/>
    <n v="450"/>
    <n v="0.15"/>
    <n v="3060"/>
    <n v="353.34"/>
    <n v="233.28"/>
    <s v="Cash"/>
    <x v="1"/>
  </r>
  <r>
    <x v="79"/>
    <d v="2026-06-08T00:00:00"/>
    <s v="P001"/>
    <s v="Notebook"/>
    <s v="Stationery"/>
    <s v="East"/>
    <s v="Kabir"/>
    <s v="Regular"/>
    <n v="4"/>
    <n v="60"/>
    <n v="0"/>
    <n v="240"/>
    <n v="38.85"/>
    <n v="84.6"/>
    <s v="UPI"/>
    <x v="0"/>
  </r>
  <r>
    <x v="80"/>
    <d v="2026-06-10T00:00:00"/>
    <s v="P007"/>
    <s v="Desk Lamp"/>
    <s v="Home"/>
    <s v="South"/>
    <s v="Kabir"/>
    <s v="Member"/>
    <n v="6"/>
    <n v="520"/>
    <n v="0.05"/>
    <n v="2964"/>
    <n v="333.09"/>
    <n v="965.46"/>
    <s v="UPI"/>
    <x v="1"/>
  </r>
  <r>
    <x v="81"/>
    <d v="2026-06-10T00:00:00"/>
    <s v="P007"/>
    <s v="Desk Lamp"/>
    <s v="Home"/>
    <s v="South"/>
    <s v="Kabir"/>
    <s v="Regular"/>
    <n v="5"/>
    <n v="520"/>
    <n v="0.15"/>
    <n v="2210"/>
    <n v="400.58"/>
    <n v="207.1"/>
    <s v="Card"/>
    <x v="1"/>
  </r>
  <r>
    <x v="82"/>
    <d v="2026-06-11T00:00:00"/>
    <s v="P005"/>
    <s v="USB Drive"/>
    <s v="Electronics"/>
    <s v="West"/>
    <s v="Rohan"/>
    <s v="Regular"/>
    <n v="7"/>
    <n v="450"/>
    <n v="0.05"/>
    <n v="2992.5"/>
    <n v="285.64"/>
    <n v="993.02"/>
    <s v="Card"/>
    <x v="1"/>
  </r>
  <r>
    <x v="83"/>
    <d v="2026-06-12T00:00:00"/>
    <s v="P001"/>
    <s v="Notebook"/>
    <s v="Stationery"/>
    <s v="South"/>
    <s v="Meera"/>
    <s v="Regular"/>
    <n v="7"/>
    <n v="60"/>
    <n v="0.1"/>
    <n v="378"/>
    <n v="45.1"/>
    <n v="62.3"/>
    <s v="Card"/>
    <x v="0"/>
  </r>
  <r>
    <x v="84"/>
    <d v="2026-06-14T00:00:00"/>
    <s v="P001"/>
    <s v="Notebook"/>
    <s v="Stationery"/>
    <s v="East"/>
    <s v="Diya"/>
    <s v="Regular"/>
    <n v="4"/>
    <n v="60"/>
    <n v="0.1"/>
    <n v="216"/>
    <n v="36.42"/>
    <n v="70.319999999999993"/>
    <s v="Card"/>
    <x v="0"/>
  </r>
  <r>
    <x v="85"/>
    <d v="2026-06-16T00:00:00"/>
    <s v="P003"/>
    <s v="Water Bottle"/>
    <s v="Accessories"/>
    <s v="East"/>
    <s v="Kabir"/>
    <s v="Member"/>
    <n v="1"/>
    <n v="180"/>
    <n v="0.1"/>
    <n v="162"/>
    <n v="127.97"/>
    <n v="34.03"/>
    <s v="UPI"/>
    <x v="0"/>
  </r>
  <r>
    <x v="86"/>
    <d v="2026-06-17T00:00:00"/>
    <s v="P003"/>
    <s v="Water Bottle"/>
    <s v="Accessories"/>
    <s v="South"/>
    <s v="Diya"/>
    <s v="Regular"/>
    <n v="1"/>
    <n v="180"/>
    <n v="0.1"/>
    <n v="162"/>
    <n v="130.16"/>
    <n v="31.84"/>
    <s v="UPI"/>
    <x v="0"/>
  </r>
  <r>
    <x v="87"/>
    <d v="2026-06-17T00:00:00"/>
    <s v="P005"/>
    <s v="USB Drive"/>
    <s v="Electronics"/>
    <s v="East"/>
    <s v="Meera"/>
    <s v="New"/>
    <n v="7"/>
    <n v="450"/>
    <n v="0.1"/>
    <n v="2835"/>
    <n v="271.87"/>
    <n v="931.91"/>
    <s v="Card"/>
    <x v="1"/>
  </r>
  <r>
    <x v="88"/>
    <d v="2026-06-20T00:00:00"/>
    <s v="P008"/>
    <s v="Coffee Mug"/>
    <s v="Home"/>
    <s v="West"/>
    <s v="Kabir"/>
    <s v="Regular"/>
    <n v="2"/>
    <n v="220"/>
    <n v="0.05"/>
    <n v="418"/>
    <n v="169.98"/>
    <n v="78.040000000000006"/>
    <s v="Card"/>
    <x v="0"/>
  </r>
  <r>
    <x v="89"/>
    <d v="2026-06-24T00:00:00"/>
    <s v="P005"/>
    <s v="USB Drive"/>
    <s v="Electronics"/>
    <s v="East"/>
    <s v="Kabir"/>
    <s v="New"/>
    <n v="3"/>
    <n v="450"/>
    <n v="0.1"/>
    <n v="1215"/>
    <n v="289.25"/>
    <n v="347.25"/>
    <s v="UPI"/>
    <x v="0"/>
  </r>
  <r>
    <x v="90"/>
    <d v="2026-06-24T00:00:00"/>
    <s v="P006"/>
    <s v="Wireless Mouse"/>
    <s v="Electronics"/>
    <s v="West"/>
    <s v="Kabir"/>
    <s v="Regular"/>
    <n v="4"/>
    <n v="650"/>
    <n v="0.05"/>
    <n v="2470"/>
    <n v="499.25"/>
    <n v="473"/>
    <s v="Card"/>
    <x v="1"/>
  </r>
  <r>
    <x v="91"/>
    <d v="2026-06-26T00:00:00"/>
    <s v="P008"/>
    <s v="Coffee Mug"/>
    <s v="Home"/>
    <s v="East"/>
    <s v="Kabir"/>
    <s v="Regular"/>
    <n v="7"/>
    <n v="220"/>
    <n v="0.15"/>
    <n v="1309"/>
    <n v="124.39"/>
    <n v="438.27"/>
    <s v="Cash"/>
    <x v="0"/>
  </r>
  <r>
    <x v="92"/>
    <d v="2026-07-07T00:00:00"/>
    <s v="P008"/>
    <s v="Coffee Mug"/>
    <s v="Home"/>
    <s v="South"/>
    <s v="Rohan"/>
    <s v="New"/>
    <n v="1"/>
    <n v="220"/>
    <n v="0.05"/>
    <n v="209"/>
    <n v="164.74"/>
    <n v="44.26"/>
    <s v="UPI"/>
    <x v="0"/>
  </r>
  <r>
    <x v="93"/>
    <d v="2026-07-09T00:00:00"/>
    <s v="P004"/>
    <s v="Backpack"/>
    <s v="Accessories"/>
    <s v="East"/>
    <s v="Aarav"/>
    <s v="Regular"/>
    <n v="1"/>
    <n v="750"/>
    <n v="0"/>
    <n v="750"/>
    <n v="587.4"/>
    <n v="162.6"/>
    <s v="Cash"/>
    <x v="0"/>
  </r>
  <r>
    <x v="94"/>
    <d v="2026-07-09T00:00:00"/>
    <s v="P008"/>
    <s v="Coffee Mug"/>
    <s v="Home"/>
    <s v="North"/>
    <s v="Meera"/>
    <s v="New"/>
    <n v="1"/>
    <n v="220"/>
    <n v="0"/>
    <n v="220"/>
    <n v="171.4"/>
    <n v="48.6"/>
    <s v="UPI"/>
    <x v="0"/>
  </r>
  <r>
    <x v="95"/>
    <d v="2026-07-12T00:00:00"/>
    <s v="P003"/>
    <s v="Water Bottle"/>
    <s v="Accessories"/>
    <s v="North"/>
    <s v="Diya"/>
    <s v="Member"/>
    <n v="5"/>
    <n v="180"/>
    <n v="0"/>
    <n v="900"/>
    <n v="128.11000000000001"/>
    <n v="259.45"/>
    <s v="Card"/>
    <x v="0"/>
  </r>
  <r>
    <x v="96"/>
    <d v="2026-07-13T00:00:00"/>
    <s v="P003"/>
    <s v="Water Bottle"/>
    <s v="Accessories"/>
    <s v="West"/>
    <s v="Rohan"/>
    <s v="Member"/>
    <n v="3"/>
    <n v="180"/>
    <n v="0.05"/>
    <n v="513"/>
    <n v="108.07"/>
    <n v="188.79"/>
    <s v="Card"/>
    <x v="0"/>
  </r>
  <r>
    <x v="97"/>
    <d v="2026-07-14T00:00:00"/>
    <s v="P004"/>
    <s v="Backpack"/>
    <s v="Accessories"/>
    <s v="East"/>
    <s v="Meera"/>
    <s v="New"/>
    <n v="4"/>
    <n v="750"/>
    <n v="0.1"/>
    <n v="2700"/>
    <n v="441.97"/>
    <n v="932.12"/>
    <s v="UPI"/>
    <x v="1"/>
  </r>
  <r>
    <x v="98"/>
    <d v="2026-07-16T00:00:00"/>
    <s v="P008"/>
    <s v="Coffee Mug"/>
    <s v="Home"/>
    <s v="West"/>
    <s v="Diya"/>
    <s v="Regular"/>
    <n v="5"/>
    <n v="220"/>
    <n v="0.05"/>
    <n v="1045"/>
    <n v="155.19"/>
    <n v="269.05"/>
    <s v="Cash"/>
    <x v="0"/>
  </r>
  <r>
    <x v="99"/>
    <d v="2026-07-23T00:00:00"/>
    <s v="P004"/>
    <s v="Backpack"/>
    <s v="Accessories"/>
    <s v="North"/>
    <s v="Meera"/>
    <s v="Regular"/>
    <n v="7"/>
    <n v="750"/>
    <n v="0.15"/>
    <n v="4462.5"/>
    <n v="461.44"/>
    <n v="1232.42"/>
    <s v="Cash"/>
    <x v="1"/>
  </r>
  <r>
    <x v="100"/>
    <d v="2026-07-23T00:00:00"/>
    <s v="P004"/>
    <s v="Backpack"/>
    <s v="Accessories"/>
    <s v="North"/>
    <s v="Aarav"/>
    <s v="New"/>
    <n v="7"/>
    <n v="750"/>
    <n v="0"/>
    <n v="5250"/>
    <n v="442.26"/>
    <n v="2154.1799999999998"/>
    <s v="Cash"/>
    <x v="1"/>
  </r>
  <r>
    <x v="101"/>
    <d v="2026-07-23T00:00:00"/>
    <s v="P008"/>
    <s v="Coffee Mug"/>
    <s v="Home"/>
    <s v="South"/>
    <s v="Meera"/>
    <s v="Regular"/>
    <n v="3"/>
    <n v="220"/>
    <n v="0.05"/>
    <n v="627"/>
    <n v="141.72999999999999"/>
    <n v="201.81"/>
    <s v="Cash"/>
    <x v="0"/>
  </r>
  <r>
    <x v="102"/>
    <d v="2026-07-25T00:00:00"/>
    <s v="P006"/>
    <s v="Wireless Mouse"/>
    <s v="Electronics"/>
    <s v="East"/>
    <s v="Rohan"/>
    <s v="Member"/>
    <n v="3"/>
    <n v="650"/>
    <n v="0.1"/>
    <n v="1755"/>
    <n v="480.18"/>
    <n v="314.45999999999998"/>
    <s v="Cash"/>
    <x v="0"/>
  </r>
  <r>
    <x v="103"/>
    <d v="2026-07-27T00:00:00"/>
    <s v="P002"/>
    <s v="Pen Pack"/>
    <s v="Stationery"/>
    <s v="East"/>
    <s v="Meera"/>
    <s v="Regular"/>
    <n v="4"/>
    <n v="40"/>
    <n v="0.1"/>
    <n v="144"/>
    <n v="27.3"/>
    <n v="34.799999999999997"/>
    <s v="Card"/>
    <x v="0"/>
  </r>
  <r>
    <x v="104"/>
    <d v="2026-07-28T00:00:00"/>
    <s v="P004"/>
    <s v="Backpack"/>
    <s v="Accessories"/>
    <s v="West"/>
    <s v="Kabir"/>
    <s v="Member"/>
    <n v="1"/>
    <n v="750"/>
    <n v="0.15"/>
    <n v="637.5"/>
    <n v="527.98"/>
    <n v="109.52"/>
    <s v="UPI"/>
    <x v="0"/>
  </r>
  <r>
    <x v="105"/>
    <d v="2026-07-29T00:00:00"/>
    <s v="P004"/>
    <s v="Backpack"/>
    <s v="Accessories"/>
    <s v="North"/>
    <s v="Rohan"/>
    <s v="New"/>
    <n v="6"/>
    <n v="750"/>
    <n v="0.1"/>
    <n v="4050"/>
    <n v="449.81"/>
    <n v="1351.14"/>
    <s v="Cash"/>
    <x v="1"/>
  </r>
  <r>
    <x v="106"/>
    <d v="2026-07-30T00:00:00"/>
    <s v="P002"/>
    <s v="Pen Pack"/>
    <s v="Stationery"/>
    <s v="East"/>
    <s v="Aarav"/>
    <s v="Member"/>
    <n v="5"/>
    <n v="40"/>
    <n v="0.05"/>
    <n v="190"/>
    <n v="25.57"/>
    <n v="62.15"/>
    <s v="Card"/>
    <x v="0"/>
  </r>
  <r>
    <x v="107"/>
    <d v="2026-07-31T00:00:00"/>
    <s v="P005"/>
    <s v="USB Drive"/>
    <s v="Electronics"/>
    <s v="West"/>
    <s v="Kabir"/>
    <s v="New"/>
    <n v="8"/>
    <n v="450"/>
    <n v="0.1"/>
    <n v="3240"/>
    <n v="333.78"/>
    <n v="569.76"/>
    <s v="Cash"/>
    <x v="1"/>
  </r>
  <r>
    <x v="108"/>
    <d v="2026-08-03T00:00:00"/>
    <s v="P003"/>
    <s v="Water Bottle"/>
    <s v="Accessories"/>
    <s v="South"/>
    <s v="Kabir"/>
    <s v="New"/>
    <n v="6"/>
    <n v="180"/>
    <n v="0.1"/>
    <n v="972"/>
    <n v="129.21"/>
    <n v="196.74"/>
    <s v="UPI"/>
    <x v="0"/>
  </r>
  <r>
    <x v="109"/>
    <d v="2026-08-07T00:00:00"/>
    <s v="P007"/>
    <s v="Desk Lamp"/>
    <s v="Home"/>
    <s v="South"/>
    <s v="Aarav"/>
    <s v="New"/>
    <n v="6"/>
    <n v="520"/>
    <n v="0.1"/>
    <n v="2808"/>
    <n v="407.73"/>
    <n v="361.62"/>
    <s v="Cash"/>
    <x v="1"/>
  </r>
  <r>
    <x v="110"/>
    <d v="2026-08-14T00:00:00"/>
    <s v="P003"/>
    <s v="Water Bottle"/>
    <s v="Accessories"/>
    <s v="East"/>
    <s v="Kabir"/>
    <s v="Member"/>
    <n v="1"/>
    <n v="180"/>
    <n v="0"/>
    <n v="180"/>
    <n v="103.05"/>
    <n v="76.95"/>
    <s v="UPI"/>
    <x v="0"/>
  </r>
  <r>
    <x v="111"/>
    <d v="2026-08-15T00:00:00"/>
    <s v="P007"/>
    <s v="Desk Lamp"/>
    <s v="Home"/>
    <s v="West"/>
    <s v="Kabir"/>
    <s v="Member"/>
    <n v="2"/>
    <n v="520"/>
    <n v="0.1"/>
    <n v="936"/>
    <n v="403.85"/>
    <n v="128.30000000000001"/>
    <s v="UPI"/>
    <x v="0"/>
  </r>
  <r>
    <x v="112"/>
    <d v="2026-08-15T00:00:00"/>
    <s v="P002"/>
    <s v="Pen Pack"/>
    <s v="Stationery"/>
    <s v="East"/>
    <s v="Meera"/>
    <s v="Regular"/>
    <n v="8"/>
    <n v="40"/>
    <n v="0"/>
    <n v="320"/>
    <n v="26.71"/>
    <n v="106.32"/>
    <s v="Cash"/>
    <x v="0"/>
  </r>
  <r>
    <x v="113"/>
    <d v="2026-08-18T00:00:00"/>
    <s v="P003"/>
    <s v="Water Bottle"/>
    <s v="Accessories"/>
    <s v="East"/>
    <s v="Kabir"/>
    <s v="Regular"/>
    <n v="3"/>
    <n v="180"/>
    <n v="0.15"/>
    <n v="459"/>
    <n v="106.38"/>
    <n v="139.86000000000001"/>
    <s v="Card"/>
    <x v="0"/>
  </r>
  <r>
    <x v="114"/>
    <d v="2026-08-19T00:00:00"/>
    <s v="P008"/>
    <s v="Coffee Mug"/>
    <s v="Home"/>
    <s v="South"/>
    <s v="Diya"/>
    <s v="New"/>
    <n v="6"/>
    <n v="220"/>
    <n v="0.05"/>
    <n v="1254"/>
    <n v="155.47"/>
    <n v="321.18"/>
    <s v="UPI"/>
    <x v="0"/>
  </r>
  <r>
    <x v="115"/>
    <d v="2026-08-20T00:00:00"/>
    <s v="P007"/>
    <s v="Desk Lamp"/>
    <s v="Home"/>
    <s v="South"/>
    <s v="Meera"/>
    <s v="New"/>
    <n v="5"/>
    <n v="520"/>
    <n v="0.1"/>
    <n v="2340"/>
    <n v="351.19"/>
    <n v="584.04999999999995"/>
    <s v="UPI"/>
    <x v="1"/>
  </r>
  <r>
    <x v="116"/>
    <d v="2026-08-21T00:00:00"/>
    <s v="P008"/>
    <s v="Coffee Mug"/>
    <s v="Home"/>
    <s v="West"/>
    <s v="Kabir"/>
    <s v="New"/>
    <n v="4"/>
    <n v="220"/>
    <n v="0"/>
    <n v="880"/>
    <n v="167.4"/>
    <n v="210.4"/>
    <s v="Cash"/>
    <x v="0"/>
  </r>
  <r>
    <x v="117"/>
    <d v="2026-08-24T00:00:00"/>
    <s v="P003"/>
    <s v="Water Bottle"/>
    <s v="Accessories"/>
    <s v="South"/>
    <s v="Rohan"/>
    <s v="New"/>
    <n v="5"/>
    <n v="180"/>
    <n v="0.15"/>
    <n v="765"/>
    <n v="137.1"/>
    <n v="79.5"/>
    <s v="UPI"/>
    <x v="0"/>
  </r>
  <r>
    <x v="118"/>
    <d v="2026-08-26T00:00:00"/>
    <s v="P001"/>
    <s v="Notebook"/>
    <s v="Stationery"/>
    <s v="East"/>
    <s v="Rohan"/>
    <s v="Regular"/>
    <n v="1"/>
    <n v="60"/>
    <n v="0.15"/>
    <n v="51"/>
    <n v="45.97"/>
    <n v="5.03"/>
    <s v="Card"/>
    <x v="0"/>
  </r>
  <r>
    <x v="119"/>
    <d v="2026-08-26T00:00:00"/>
    <s v="P003"/>
    <s v="Water Bottle"/>
    <s v="Accessories"/>
    <s v="North"/>
    <s v="Diya"/>
    <s v="New"/>
    <n v="4"/>
    <n v="180"/>
    <n v="0.15"/>
    <n v="612"/>
    <n v="133.69"/>
    <n v="77.239999999999995"/>
    <s v="Cash"/>
    <x v="0"/>
  </r>
  <r>
    <x v="120"/>
    <d v="2026-08-30T00:00:00"/>
    <s v="P001"/>
    <s v="Notebook"/>
    <s v="Stationery"/>
    <s v="East"/>
    <s v="Diya"/>
    <s v="Member"/>
    <n v="5"/>
    <n v="60"/>
    <n v="0.05"/>
    <n v="285"/>
    <n v="36.950000000000003"/>
    <n v="100.25"/>
    <s v="UPI"/>
    <x v="0"/>
  </r>
  <r>
    <x v="121"/>
    <d v="2026-09-04T00:00:00"/>
    <s v="P008"/>
    <s v="Coffee Mug"/>
    <s v="Home"/>
    <s v="West"/>
    <s v="Kabir"/>
    <s v="New"/>
    <n v="1"/>
    <n v="220"/>
    <n v="0.15"/>
    <n v="187"/>
    <n v="131.02000000000001"/>
    <n v="55.98"/>
    <s v="Card"/>
    <x v="0"/>
  </r>
  <r>
    <x v="122"/>
    <d v="2026-09-04T00:00:00"/>
    <s v="P002"/>
    <s v="Pen Pack"/>
    <s v="Stationery"/>
    <s v="South"/>
    <s v="Diya"/>
    <s v="Member"/>
    <n v="3"/>
    <n v="40"/>
    <n v="0.1"/>
    <n v="108"/>
    <n v="26.23"/>
    <n v="29.31"/>
    <s v="UPI"/>
    <x v="0"/>
  </r>
  <r>
    <x v="123"/>
    <d v="2026-09-06T00:00:00"/>
    <s v="P003"/>
    <s v="Water Bottle"/>
    <s v="Accessories"/>
    <s v="West"/>
    <s v="Meera"/>
    <s v="Regular"/>
    <n v="6"/>
    <n v="180"/>
    <n v="0.15"/>
    <n v="918"/>
    <n v="105.8"/>
    <n v="283.2"/>
    <s v="Cash"/>
    <x v="0"/>
  </r>
  <r>
    <x v="124"/>
    <d v="2026-09-07T00:00:00"/>
    <s v="P001"/>
    <s v="Notebook"/>
    <s v="Stationery"/>
    <s v="South"/>
    <s v="Meera"/>
    <s v="Member"/>
    <n v="4"/>
    <n v="60"/>
    <n v="0.15"/>
    <n v="204"/>
    <n v="40.51"/>
    <n v="41.96"/>
    <s v="Cash"/>
    <x v="0"/>
  </r>
  <r>
    <x v="125"/>
    <d v="2026-09-07T00:00:00"/>
    <s v="P007"/>
    <s v="Desk Lamp"/>
    <s v="Home"/>
    <s v="West"/>
    <s v="Aarav"/>
    <s v="New"/>
    <n v="7"/>
    <n v="520"/>
    <n v="0.1"/>
    <n v="3276"/>
    <n v="315.61"/>
    <n v="1066.73"/>
    <s v="Cash"/>
    <x v="1"/>
  </r>
  <r>
    <x v="126"/>
    <d v="2026-09-08T00:00:00"/>
    <s v="P007"/>
    <s v="Desk Lamp"/>
    <s v="Home"/>
    <s v="West"/>
    <s v="Rohan"/>
    <s v="New"/>
    <n v="7"/>
    <n v="520"/>
    <n v="0.05"/>
    <n v="3458"/>
    <n v="348.04"/>
    <n v="1021.72"/>
    <s v="Cash"/>
    <x v="1"/>
  </r>
  <r>
    <x v="127"/>
    <d v="2026-09-10T00:00:00"/>
    <s v="P003"/>
    <s v="Water Bottle"/>
    <s v="Accessories"/>
    <s v="East"/>
    <s v="Aarav"/>
    <s v="New"/>
    <n v="1"/>
    <n v="180"/>
    <n v="0.1"/>
    <n v="162"/>
    <n v="120.53"/>
    <n v="41.47"/>
    <s v="Card"/>
    <x v="0"/>
  </r>
  <r>
    <x v="128"/>
    <d v="2026-09-10T00:00:00"/>
    <s v="P001"/>
    <s v="Notebook"/>
    <s v="Stationery"/>
    <s v="East"/>
    <s v="Rohan"/>
    <s v="Regular"/>
    <n v="8"/>
    <n v="60"/>
    <n v="0.05"/>
    <n v="456"/>
    <n v="43.09"/>
    <n v="111.28"/>
    <s v="Card"/>
    <x v="0"/>
  </r>
  <r>
    <x v="129"/>
    <d v="2026-09-10T00:00:00"/>
    <s v="P003"/>
    <s v="Water Bottle"/>
    <s v="Accessories"/>
    <s v="North"/>
    <s v="Diya"/>
    <s v="New"/>
    <n v="2"/>
    <n v="180"/>
    <n v="0.15"/>
    <n v="306"/>
    <n v="107.6"/>
    <n v="90.8"/>
    <s v="Cash"/>
    <x v="0"/>
  </r>
  <r>
    <x v="130"/>
    <d v="2026-09-11T00:00:00"/>
    <s v="P001"/>
    <s v="Notebook"/>
    <s v="Stationery"/>
    <s v="East"/>
    <s v="Diya"/>
    <s v="Regular"/>
    <n v="3"/>
    <n v="60"/>
    <n v="0"/>
    <n v="180"/>
    <n v="37.130000000000003"/>
    <n v="68.61"/>
    <s v="Cash"/>
    <x v="0"/>
  </r>
  <r>
    <x v="131"/>
    <d v="2026-09-11T00:00:00"/>
    <s v="P001"/>
    <s v="Notebook"/>
    <s v="Stationery"/>
    <s v="West"/>
    <s v="Rohan"/>
    <s v="Member"/>
    <n v="2"/>
    <n v="60"/>
    <n v="0.05"/>
    <n v="114"/>
    <n v="33.04"/>
    <n v="47.92"/>
    <s v="Card"/>
    <x v="0"/>
  </r>
  <r>
    <x v="132"/>
    <d v="2026-09-15T00:00:00"/>
    <s v="P006"/>
    <s v="Wireless Mouse"/>
    <s v="Electronics"/>
    <s v="South"/>
    <s v="Rohan"/>
    <s v="Member"/>
    <n v="4"/>
    <n v="650"/>
    <n v="0.05"/>
    <n v="2470"/>
    <n v="364.08"/>
    <n v="1013.68"/>
    <s v="Card"/>
    <x v="1"/>
  </r>
  <r>
    <x v="133"/>
    <d v="2026-09-18T00:00:00"/>
    <s v="P003"/>
    <s v="Water Bottle"/>
    <s v="Accessories"/>
    <s v="East"/>
    <s v="Rohan"/>
    <s v="Member"/>
    <n v="8"/>
    <n v="180"/>
    <n v="0.15"/>
    <n v="1224"/>
    <n v="104.37"/>
    <n v="389.04"/>
    <s v="Cash"/>
    <x v="0"/>
  </r>
  <r>
    <x v="134"/>
    <d v="2026-09-18T00:00:00"/>
    <s v="P008"/>
    <s v="Coffee Mug"/>
    <s v="Home"/>
    <s v="South"/>
    <s v="Rohan"/>
    <s v="New"/>
    <n v="2"/>
    <n v="220"/>
    <n v="0"/>
    <n v="440"/>
    <n v="153.71"/>
    <n v="132.58000000000001"/>
    <s v="UPI"/>
    <x v="0"/>
  </r>
  <r>
    <x v="135"/>
    <d v="2026-09-21T00:00:00"/>
    <s v="P007"/>
    <s v="Desk Lamp"/>
    <s v="Home"/>
    <s v="North"/>
    <s v="Meera"/>
    <s v="New"/>
    <n v="4"/>
    <n v="520"/>
    <n v="0.15"/>
    <n v="1768"/>
    <n v="313.51"/>
    <n v="513.96"/>
    <s v="Card"/>
    <x v="0"/>
  </r>
  <r>
    <x v="136"/>
    <d v="2026-09-21T00:00:00"/>
    <s v="P007"/>
    <s v="Desk Lamp"/>
    <s v="Home"/>
    <s v="East"/>
    <s v="Kabir"/>
    <s v="Regular"/>
    <n v="4"/>
    <n v="520"/>
    <n v="0.05"/>
    <n v="1976"/>
    <n v="358.13"/>
    <n v="543.48"/>
    <s v="Cash"/>
    <x v="0"/>
  </r>
  <r>
    <x v="137"/>
    <d v="2026-09-22T00:00:00"/>
    <s v="P005"/>
    <s v="USB Drive"/>
    <s v="Electronics"/>
    <s v="South"/>
    <s v="Aarav"/>
    <s v="New"/>
    <n v="3"/>
    <n v="450"/>
    <n v="0.1"/>
    <n v="1215"/>
    <n v="303.58999999999997"/>
    <n v="304.23"/>
    <s v="UPI"/>
    <x v="0"/>
  </r>
  <r>
    <x v="138"/>
    <d v="2026-09-26T00:00:00"/>
    <s v="P007"/>
    <s v="Desk Lamp"/>
    <s v="Home"/>
    <s v="West"/>
    <s v="Diya"/>
    <s v="New"/>
    <n v="5"/>
    <n v="520"/>
    <n v="0.15"/>
    <n v="2210"/>
    <n v="411.28"/>
    <n v="153.6"/>
    <s v="Cash"/>
    <x v="1"/>
  </r>
  <r>
    <x v="139"/>
    <d v="2026-09-27T00:00:00"/>
    <s v="P003"/>
    <s v="Water Bottle"/>
    <s v="Accessories"/>
    <s v="West"/>
    <s v="Aarav"/>
    <s v="Regular"/>
    <n v="3"/>
    <n v="180"/>
    <n v="0.1"/>
    <n v="486"/>
    <n v="131.44999999999999"/>
    <n v="91.65"/>
    <s v="Card"/>
    <x v="0"/>
  </r>
  <r>
    <x v="140"/>
    <d v="2026-09-27T00:00:00"/>
    <s v="P006"/>
    <s v="Wireless Mouse"/>
    <s v="Electronics"/>
    <s v="North"/>
    <s v="Diya"/>
    <s v="Member"/>
    <n v="7"/>
    <n v="650"/>
    <n v="0.05"/>
    <n v="4322.5"/>
    <n v="399.68"/>
    <n v="1524.74"/>
    <s v="Card"/>
    <x v="1"/>
  </r>
  <r>
    <x v="141"/>
    <d v="2026-09-28T00:00:00"/>
    <s v="P008"/>
    <s v="Coffee Mug"/>
    <s v="Home"/>
    <s v="North"/>
    <s v="Kabir"/>
    <s v="Member"/>
    <n v="4"/>
    <n v="220"/>
    <n v="0.1"/>
    <n v="792"/>
    <n v="167.53"/>
    <n v="121.88"/>
    <s v="Card"/>
    <x v="0"/>
  </r>
  <r>
    <x v="142"/>
    <d v="2026-10-01T00:00:00"/>
    <s v="P008"/>
    <s v="Coffee Mug"/>
    <s v="Home"/>
    <s v="North"/>
    <s v="Aarav"/>
    <s v="New"/>
    <n v="5"/>
    <n v="220"/>
    <n v="0.05"/>
    <n v="1045"/>
    <n v="153.36000000000001"/>
    <n v="278.2"/>
    <s v="Card"/>
    <x v="0"/>
  </r>
  <r>
    <x v="143"/>
    <d v="2026-10-04T00:00:00"/>
    <s v="P007"/>
    <s v="Desk Lamp"/>
    <s v="Home"/>
    <s v="South"/>
    <s v="Rohan"/>
    <s v="Regular"/>
    <n v="3"/>
    <n v="520"/>
    <n v="0.1"/>
    <n v="1404"/>
    <n v="373.34"/>
    <n v="283.98"/>
    <s v="Cash"/>
    <x v="0"/>
  </r>
  <r>
    <x v="144"/>
    <d v="2026-10-06T00:00:00"/>
    <s v="P008"/>
    <s v="Coffee Mug"/>
    <s v="Home"/>
    <s v="South"/>
    <s v="Diya"/>
    <s v="New"/>
    <n v="4"/>
    <n v="220"/>
    <n v="0"/>
    <n v="880"/>
    <n v="129.13"/>
    <n v="363.48"/>
    <s v="UPI"/>
    <x v="0"/>
  </r>
  <r>
    <x v="145"/>
    <d v="2026-10-08T00:00:00"/>
    <s v="P002"/>
    <s v="Pen Pack"/>
    <s v="Stationery"/>
    <s v="West"/>
    <s v="Aarav"/>
    <s v="New"/>
    <n v="8"/>
    <n v="40"/>
    <n v="0.05"/>
    <n v="304"/>
    <n v="31.09"/>
    <n v="55.28"/>
    <s v="Card"/>
    <x v="0"/>
  </r>
  <r>
    <x v="146"/>
    <d v="2026-10-10T00:00:00"/>
    <s v="P003"/>
    <s v="Water Bottle"/>
    <s v="Accessories"/>
    <s v="East"/>
    <s v="Kabir"/>
    <s v="Member"/>
    <n v="1"/>
    <n v="180"/>
    <n v="0.15"/>
    <n v="153"/>
    <n v="141.82"/>
    <n v="11.18"/>
    <s v="UPI"/>
    <x v="0"/>
  </r>
  <r>
    <x v="147"/>
    <d v="2026-10-10T00:00:00"/>
    <s v="P004"/>
    <s v="Backpack"/>
    <s v="Accessories"/>
    <s v="East"/>
    <s v="Aarav"/>
    <s v="Member"/>
    <n v="7"/>
    <n v="750"/>
    <n v="0.15"/>
    <n v="4462.5"/>
    <n v="458.31"/>
    <n v="1254.33"/>
    <s v="Card"/>
    <x v="1"/>
  </r>
  <r>
    <x v="148"/>
    <d v="2026-10-12T00:00:00"/>
    <s v="P002"/>
    <s v="Pen Pack"/>
    <s v="Stationery"/>
    <s v="North"/>
    <s v="Aarav"/>
    <s v="New"/>
    <n v="8"/>
    <n v="40"/>
    <n v="0.05"/>
    <n v="304"/>
    <n v="30.83"/>
    <n v="57.36"/>
    <s v="Card"/>
    <x v="0"/>
  </r>
  <r>
    <x v="149"/>
    <d v="2026-10-13T00:00:00"/>
    <s v="P003"/>
    <s v="Water Bottle"/>
    <s v="Accessories"/>
    <s v="South"/>
    <s v="Meera"/>
    <s v="Member"/>
    <n v="7"/>
    <n v="180"/>
    <n v="0.1"/>
    <n v="1134"/>
    <n v="110.78"/>
    <n v="358.54"/>
    <s v="Car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D121B-A730-47C8-B169-C1FE0461DD4D}" name="PivotTable2" cacheId="4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H16" firstHeaderRow="0" firstDataRow="1" firstDataCol="2"/>
  <pivotFields count="20">
    <pivotField compact="0" outline="0" showAll="0">
      <items count="151">
        <item x="71"/>
        <item x="93"/>
        <item x="104"/>
        <item x="36"/>
        <item x="123"/>
        <item x="28"/>
        <item x="115"/>
        <item x="131"/>
        <item x="45"/>
        <item x="42"/>
        <item x="40"/>
        <item x="39"/>
        <item x="63"/>
        <item x="33"/>
        <item x="92"/>
        <item x="142"/>
        <item x="85"/>
        <item x="22"/>
        <item x="72"/>
        <item x="96"/>
        <item x="118"/>
        <item x="4"/>
        <item x="134"/>
        <item x="52"/>
        <item x="112"/>
        <item x="5"/>
        <item x="125"/>
        <item x="114"/>
        <item x="138"/>
        <item x="21"/>
        <item x="41"/>
        <item x="2"/>
        <item x="97"/>
        <item x="98"/>
        <item x="15"/>
        <item x="144"/>
        <item x="30"/>
        <item x="147"/>
        <item x="50"/>
        <item x="35"/>
        <item x="46"/>
        <item x="130"/>
        <item x="105"/>
        <item x="132"/>
        <item x="127"/>
        <item x="79"/>
        <item x="95"/>
        <item x="136"/>
        <item x="143"/>
        <item x="25"/>
        <item x="119"/>
        <item x="126"/>
        <item x="75"/>
        <item x="73"/>
        <item x="94"/>
        <item x="12"/>
        <item x="88"/>
        <item x="24"/>
        <item x="57"/>
        <item x="8"/>
        <item x="124"/>
        <item x="102"/>
        <item x="116"/>
        <item x="86"/>
        <item x="0"/>
        <item x="27"/>
        <item x="23"/>
        <item x="83"/>
        <item x="121"/>
        <item x="89"/>
        <item x="20"/>
        <item x="111"/>
        <item x="148"/>
        <item x="49"/>
        <item x="56"/>
        <item x="141"/>
        <item x="31"/>
        <item x="76"/>
        <item x="54"/>
        <item x="135"/>
        <item x="6"/>
        <item x="16"/>
        <item x="107"/>
        <item x="81"/>
        <item x="38"/>
        <item x="55"/>
        <item x="43"/>
        <item x="87"/>
        <item x="84"/>
        <item x="47"/>
        <item x="145"/>
        <item x="110"/>
        <item x="48"/>
        <item x="149"/>
        <item x="18"/>
        <item x="68"/>
        <item x="66"/>
        <item x="122"/>
        <item x="9"/>
        <item x="99"/>
        <item x="51"/>
        <item x="61"/>
        <item x="60"/>
        <item x="139"/>
        <item x="101"/>
        <item x="113"/>
        <item x="26"/>
        <item x="67"/>
        <item x="137"/>
        <item x="69"/>
        <item x="120"/>
        <item x="80"/>
        <item x="11"/>
        <item x="140"/>
        <item x="103"/>
        <item x="129"/>
        <item x="7"/>
        <item x="70"/>
        <item x="91"/>
        <item x="146"/>
        <item x="64"/>
        <item x="65"/>
        <item x="62"/>
        <item x="13"/>
        <item x="37"/>
        <item x="14"/>
        <item x="53"/>
        <item x="108"/>
        <item x="90"/>
        <item x="82"/>
        <item x="128"/>
        <item x="34"/>
        <item x="109"/>
        <item x="10"/>
        <item x="58"/>
        <item x="44"/>
        <item x="19"/>
        <item x="74"/>
        <item x="77"/>
        <item x="100"/>
        <item x="3"/>
        <item x="29"/>
        <item x="106"/>
        <item x="78"/>
        <item x="117"/>
        <item x="59"/>
        <item x="1"/>
        <item x="32"/>
        <item x="133"/>
        <item x="17"/>
        <item t="default"/>
      </items>
    </pivotField>
    <pivotField compact="0" numFmtId="14" outline="0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compact="0" outline="0" showAll="0">
      <items count="9">
        <item x="3"/>
        <item x="2"/>
        <item x="0"/>
        <item x="1"/>
        <item x="4"/>
        <item x="5"/>
        <item x="7"/>
        <item x="6"/>
        <item t="default"/>
      </items>
    </pivotField>
    <pivotField axis="axisRow" compact="0" outline="0" showAll="0">
      <items count="9">
        <item x="1"/>
        <item x="6"/>
        <item x="7"/>
        <item x="3"/>
        <item x="2"/>
        <item x="4"/>
        <item x="0"/>
        <item x="5"/>
        <item t="default"/>
      </items>
    </pivotField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6">
        <item x="4"/>
        <item x="0"/>
        <item x="1"/>
        <item x="3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dataField="1" compact="0" numFmtId="1" outline="0" showAll="0"/>
    <pivotField dataField="1" compact="0" numFmtId="165" outline="0" showAll="0"/>
    <pivotField dataField="1" compact="0" numFmtId="9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3"/>
  </rowFields>
  <rowItems count="13">
    <i>
      <x/>
      <x/>
    </i>
    <i r="1">
      <x v="6"/>
    </i>
    <i t="default">
      <x/>
    </i>
    <i>
      <x v="1"/>
      <x v="5"/>
    </i>
    <i r="1">
      <x v="7"/>
    </i>
    <i t="default">
      <x v="1"/>
    </i>
    <i>
      <x v="2"/>
      <x v="1"/>
    </i>
    <i r="1">
      <x v="2"/>
    </i>
    <i t="default">
      <x v="2"/>
    </i>
    <i>
      <x v="3"/>
      <x v="3"/>
    </i>
    <i r="1">
      <x v="4"/>
    </i>
    <i t="default"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Quantity" fld="8" baseField="0" baseItem="0" numFmtId="1"/>
    <dataField name="Sum of Unit_Price" fld="9" baseField="0" baseItem="0" numFmtId="165"/>
    <dataField name="Sum of Discount" fld="10" baseField="0" baseItem="0" numFmtId="9"/>
    <dataField name="Sum of Total_Sales" fld="11" baseField="0" baseItem="0" numFmtId="164"/>
    <dataField name="Sum of Unit_Cost" fld="12" baseField="0" baseItem="0" numFmtId="164"/>
    <dataField name="Sum of Profit" fld="13" baseField="0" baseItem="0" numFmtId="164"/>
  </dataFields>
  <chartFormats count="126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1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1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1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1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2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2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2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2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30">
      <pivotArea type="data" outline="0" fieldPosition="0">
        <references count="3">
          <reference field="4294967294" count="1" selected="0">
            <x v="2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31">
      <pivotArea type="data" outline="0" fieldPosition="0">
        <references count="3">
          <reference field="4294967294" count="1" selected="0">
            <x v="2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32">
      <pivotArea type="data" outline="0" fieldPosition="0">
        <references count="3">
          <reference field="4294967294" count="1" selected="0">
            <x v="2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34">
      <pivotArea type="data" outline="0" fieldPosition="0">
        <references count="3">
          <reference field="4294967294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35">
      <pivotArea type="data" outline="0" fieldPosition="0">
        <references count="3">
          <reference field="4294967294" count="1" selected="0">
            <x v="3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36">
      <pivotArea type="data" outline="0" fieldPosition="0">
        <references count="3">
          <reference field="4294967294" count="1" selected="0">
            <x v="3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37">
      <pivotArea type="data" outline="0" fieldPosition="0">
        <references count="3">
          <reference field="4294967294" count="1" selected="0">
            <x v="3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38">
      <pivotArea type="data" outline="0" fieldPosition="0">
        <references count="3">
          <reference field="4294967294" count="1" selected="0">
            <x v="3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3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3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3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4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4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4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4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4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4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4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4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4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5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5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5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5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5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5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5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5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5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6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63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64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6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6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6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6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6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70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71">
      <pivotArea type="data" outline="0" fieldPosition="0">
        <references count="3">
          <reference field="4294967294" count="1" selected="0">
            <x v="1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72">
      <pivotArea type="data" outline="0" fieldPosition="0">
        <references count="3">
          <reference field="4294967294" count="1" selected="0">
            <x v="1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73">
      <pivotArea type="data" outline="0" fieldPosition="0">
        <references count="3">
          <reference field="4294967294" count="1" selected="0">
            <x v="1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74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75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76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77">
      <pivotArea type="data" outline="0" fieldPosition="0">
        <references count="3">
          <reference field="4294967294" count="1" selected="0">
            <x v="1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7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79">
      <pivotArea type="data" outline="0" fieldPosition="0">
        <references count="3">
          <reference field="4294967294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80">
      <pivotArea type="data" outline="0" fieldPosition="0">
        <references count="3">
          <reference field="4294967294" count="1" selected="0">
            <x v="2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81">
      <pivotArea type="data" outline="0" fieldPosition="0">
        <references count="3">
          <reference field="4294967294" count="1" selected="0">
            <x v="2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82">
      <pivotArea type="data" outline="0" fieldPosition="0">
        <references count="3">
          <reference field="4294967294" count="1" selected="0">
            <x v="2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83">
      <pivotArea type="data" outline="0" fieldPosition="0">
        <references count="3">
          <reference field="4294967294" count="1" selected="0">
            <x v="2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84">
      <pivotArea type="data" outline="0" fieldPosition="0">
        <references count="3">
          <reference field="4294967294" count="1" selected="0">
            <x v="2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85">
      <pivotArea type="data" outline="0" fieldPosition="0">
        <references count="3">
          <reference field="4294967294" count="1" selected="0">
            <x v="2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86">
      <pivotArea type="data" outline="0" fieldPosition="0">
        <references count="3">
          <reference field="4294967294" count="1" selected="0">
            <x v="2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8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8">
      <pivotArea type="data" outline="0" fieldPosition="0">
        <references count="3">
          <reference field="4294967294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89">
      <pivotArea type="data" outline="0" fieldPosition="0">
        <references count="3">
          <reference field="4294967294" count="1" selected="0">
            <x v="3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90">
      <pivotArea type="data" outline="0" fieldPosition="0">
        <references count="3">
          <reference field="4294967294" count="1" selected="0">
            <x v="3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91">
      <pivotArea type="data" outline="0" fieldPosition="0">
        <references count="3">
          <reference field="4294967294" count="1" selected="0">
            <x v="3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92">
      <pivotArea type="data" outline="0" fieldPosition="0">
        <references count="3">
          <reference field="4294967294" count="1" selected="0">
            <x v="3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93">
      <pivotArea type="data" outline="0" fieldPosition="0">
        <references count="3">
          <reference field="4294967294" count="1" selected="0">
            <x v="3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94">
      <pivotArea type="data" outline="0" fieldPosition="0">
        <references count="3">
          <reference field="4294967294" count="1" selected="0">
            <x v="3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95">
      <pivotArea type="data" outline="0" fieldPosition="0">
        <references count="3">
          <reference field="4294967294" count="1" selected="0">
            <x v="3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9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97">
      <pivotArea type="data" outline="0" fieldPosition="0">
        <references count="3">
          <reference field="4294967294" count="1" selected="0">
            <x v="4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98">
      <pivotArea type="data" outline="0" fieldPosition="0">
        <references count="3">
          <reference field="4294967294" count="1" selected="0">
            <x v="4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99">
      <pivotArea type="data" outline="0" fieldPosition="0">
        <references count="3">
          <reference field="4294967294" count="1" selected="0">
            <x v="4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100">
      <pivotArea type="data" outline="0" fieldPosition="0">
        <references count="3">
          <reference field="4294967294" count="1" selected="0">
            <x v="4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101">
      <pivotArea type="data" outline="0" fieldPosition="0">
        <references count="3">
          <reference field="4294967294" count="1" selected="0">
            <x v="4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102">
      <pivotArea type="data" outline="0" fieldPosition="0">
        <references count="3">
          <reference field="4294967294" count="1" selected="0">
            <x v="4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103">
      <pivotArea type="data" outline="0" fieldPosition="0">
        <references count="3">
          <reference field="4294967294" count="1" selected="0">
            <x v="4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104">
      <pivotArea type="data" outline="0" fieldPosition="0">
        <references count="3">
          <reference field="4294967294" count="1" selected="0">
            <x v="4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5" format="10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106">
      <pivotArea type="data" outline="0" fieldPosition="0">
        <references count="3">
          <reference field="4294967294" count="1" selected="0">
            <x v="5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107">
      <pivotArea type="data" outline="0" fieldPosition="0">
        <references count="3">
          <reference field="4294967294" count="1" selected="0">
            <x v="5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5" format="108">
      <pivotArea type="data" outline="0" fieldPosition="0">
        <references count="3">
          <reference field="4294967294" count="1" selected="0">
            <x v="5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5" format="109">
      <pivotArea type="data" outline="0" fieldPosition="0">
        <references count="3">
          <reference field="4294967294" count="1" selected="0">
            <x v="5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5" format="110">
      <pivotArea type="data" outline="0" fieldPosition="0">
        <references count="3">
          <reference field="4294967294" count="1" selected="0">
            <x v="5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111">
      <pivotArea type="data" outline="0" fieldPosition="0">
        <references count="3">
          <reference field="4294967294" count="1" selected="0">
            <x v="5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5" format="112">
      <pivotArea type="data" outline="0" fieldPosition="0">
        <references count="3">
          <reference field="4294967294" count="1" selected="0">
            <x v="5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5" format="113">
      <pivotArea type="data" outline="0" fieldPosition="0">
        <references count="3">
          <reference field="4294967294" count="1" selected="0">
            <x v="5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A4A03-1429-46A7-BE8F-5913A2CE15A2}" name="PivotTable3" cacheId="4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B8" firstHeaderRow="1" firstDataRow="1" firstDataCol="1"/>
  <pivotFields count="15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numFmtId="9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1" baseField="0" baseItem="0" numFmtId="164"/>
  </dataFields>
  <chartFormats count="2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4B676-5814-4B4D-9632-58F4CDCAF449}" name="PivotTable6" cacheId="4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6">
    <pivotField dataField="1" compact="0" outline="0" showAll="0">
      <items count="151">
        <item x="71"/>
        <item x="93"/>
        <item x="104"/>
        <item x="36"/>
        <item x="123"/>
        <item x="28"/>
        <item x="115"/>
        <item x="131"/>
        <item x="45"/>
        <item x="42"/>
        <item x="40"/>
        <item x="39"/>
        <item x="63"/>
        <item x="33"/>
        <item x="92"/>
        <item x="142"/>
        <item x="85"/>
        <item x="22"/>
        <item x="72"/>
        <item x="96"/>
        <item x="118"/>
        <item x="4"/>
        <item x="134"/>
        <item x="52"/>
        <item x="112"/>
        <item x="5"/>
        <item x="125"/>
        <item x="114"/>
        <item x="138"/>
        <item x="21"/>
        <item x="41"/>
        <item x="2"/>
        <item x="97"/>
        <item x="98"/>
        <item x="15"/>
        <item x="144"/>
        <item x="30"/>
        <item x="147"/>
        <item x="50"/>
        <item x="35"/>
        <item x="46"/>
        <item x="130"/>
        <item x="105"/>
        <item x="132"/>
        <item x="127"/>
        <item x="79"/>
        <item x="95"/>
        <item x="136"/>
        <item x="143"/>
        <item x="25"/>
        <item x="119"/>
        <item x="126"/>
        <item x="75"/>
        <item x="73"/>
        <item x="94"/>
        <item x="12"/>
        <item x="88"/>
        <item x="24"/>
        <item x="57"/>
        <item x="8"/>
        <item x="124"/>
        <item x="102"/>
        <item x="116"/>
        <item x="86"/>
        <item x="0"/>
        <item x="27"/>
        <item x="23"/>
        <item x="83"/>
        <item x="121"/>
        <item x="89"/>
        <item x="20"/>
        <item x="111"/>
        <item x="148"/>
        <item x="49"/>
        <item x="56"/>
        <item x="141"/>
        <item x="31"/>
        <item x="76"/>
        <item x="54"/>
        <item x="135"/>
        <item x="6"/>
        <item x="16"/>
        <item x="107"/>
        <item x="81"/>
        <item x="38"/>
        <item x="55"/>
        <item x="43"/>
        <item x="87"/>
        <item x="84"/>
        <item x="47"/>
        <item x="145"/>
        <item x="110"/>
        <item x="48"/>
        <item x="149"/>
        <item x="18"/>
        <item x="68"/>
        <item x="66"/>
        <item x="122"/>
        <item x="9"/>
        <item x="99"/>
        <item x="51"/>
        <item x="61"/>
        <item x="60"/>
        <item x="139"/>
        <item x="101"/>
        <item x="113"/>
        <item x="26"/>
        <item x="67"/>
        <item x="137"/>
        <item x="69"/>
        <item x="120"/>
        <item x="80"/>
        <item x="11"/>
        <item x="140"/>
        <item x="103"/>
        <item x="129"/>
        <item x="7"/>
        <item x="70"/>
        <item x="91"/>
        <item x="146"/>
        <item x="64"/>
        <item x="65"/>
        <item x="62"/>
        <item x="13"/>
        <item x="37"/>
        <item x="14"/>
        <item x="53"/>
        <item x="108"/>
        <item x="90"/>
        <item x="82"/>
        <item x="128"/>
        <item x="34"/>
        <item x="109"/>
        <item x="10"/>
        <item x="58"/>
        <item x="44"/>
        <item x="19"/>
        <item x="74"/>
        <item x="77"/>
        <item x="100"/>
        <item x="3"/>
        <item x="29"/>
        <item x="106"/>
        <item x="78"/>
        <item x="117"/>
        <item x="59"/>
        <item x="1"/>
        <item x="32"/>
        <item x="133"/>
        <item x="1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F3AF-ECAC-4BF7-AA8A-51E221CDF962}">
  <dimension ref="A3:H16"/>
  <sheetViews>
    <sheetView workbookViewId="0">
      <selection activeCell="D17" sqref="D17"/>
    </sheetView>
  </sheetViews>
  <sheetFormatPr defaultRowHeight="15"/>
  <cols>
    <col min="1" max="1" width="13.85546875" customWidth="1"/>
    <col min="2" max="2" width="17.7109375" customWidth="1"/>
    <col min="3" max="3" width="15.85546875" customWidth="1"/>
    <col min="4" max="4" width="17.42578125" customWidth="1"/>
    <col min="5" max="5" width="15.85546875" bestFit="1" customWidth="1"/>
    <col min="6" max="6" width="18.28515625" bestFit="1" customWidth="1"/>
    <col min="7" max="7" width="16.7109375" bestFit="1" customWidth="1"/>
    <col min="8" max="14" width="12.85546875" bestFit="1" customWidth="1"/>
    <col min="15" max="16" width="21" bestFit="1" customWidth="1"/>
  </cols>
  <sheetData>
    <row r="3" spans="1:8">
      <c r="A3" s="12" t="s">
        <v>0</v>
      </c>
      <c r="B3" s="12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C4" s="11">
        <v>76</v>
      </c>
      <c r="D4" s="13">
        <v>14250</v>
      </c>
      <c r="E4" s="14">
        <v>1.35</v>
      </c>
      <c r="F4" s="10">
        <v>52987.5</v>
      </c>
      <c r="G4" s="10">
        <v>9554.6899999999987</v>
      </c>
      <c r="H4" s="10">
        <v>15376.570000000002</v>
      </c>
    </row>
    <row r="5" spans="1:8">
      <c r="B5" t="s">
        <v>10</v>
      </c>
      <c r="C5" s="11">
        <v>104</v>
      </c>
      <c r="D5" s="13">
        <v>5220</v>
      </c>
      <c r="E5" s="14">
        <v>2.95</v>
      </c>
      <c r="F5" s="10">
        <v>16614</v>
      </c>
      <c r="G5" s="10">
        <v>3476.5500000000006</v>
      </c>
      <c r="H5" s="10">
        <v>4264.1799999999985</v>
      </c>
    </row>
    <row r="6" spans="1:8">
      <c r="A6" t="s">
        <v>11</v>
      </c>
      <c r="C6" s="11">
        <v>180</v>
      </c>
      <c r="D6" s="13">
        <v>19470</v>
      </c>
      <c r="E6" s="14">
        <v>4.3000000000000007</v>
      </c>
      <c r="F6" s="10">
        <v>69601.5</v>
      </c>
      <c r="G6" s="10">
        <v>13031.24</v>
      </c>
      <c r="H6" s="10">
        <v>19640.75</v>
      </c>
    </row>
    <row r="7" spans="1:8">
      <c r="A7" t="s">
        <v>12</v>
      </c>
      <c r="B7" t="s">
        <v>13</v>
      </c>
      <c r="C7" s="11">
        <v>75</v>
      </c>
      <c r="D7" s="13">
        <v>5850</v>
      </c>
      <c r="E7" s="14">
        <v>1.3000000000000005</v>
      </c>
      <c r="F7" s="10">
        <v>30420</v>
      </c>
      <c r="G7" s="10">
        <v>3965.75</v>
      </c>
      <c r="H7" s="10">
        <v>7212.76</v>
      </c>
    </row>
    <row r="8" spans="1:8">
      <c r="B8" t="s">
        <v>14</v>
      </c>
      <c r="C8" s="11">
        <v>48</v>
      </c>
      <c r="D8" s="13">
        <v>5850</v>
      </c>
      <c r="E8" s="14">
        <v>0.60000000000000009</v>
      </c>
      <c r="F8" s="10">
        <v>28957.5</v>
      </c>
      <c r="G8" s="10">
        <v>4029.0599999999995</v>
      </c>
      <c r="H8" s="10">
        <v>7655.670000000001</v>
      </c>
    </row>
    <row r="9" spans="1:8">
      <c r="A9" t="s">
        <v>15</v>
      </c>
      <c r="C9" s="11">
        <v>123</v>
      </c>
      <c r="D9" s="13">
        <v>11700</v>
      </c>
      <c r="E9" s="14">
        <v>1.9000000000000006</v>
      </c>
      <c r="F9" s="10">
        <v>59377.5</v>
      </c>
      <c r="G9" s="10">
        <v>7994.8099999999995</v>
      </c>
      <c r="H9" s="10">
        <v>14868.43</v>
      </c>
    </row>
    <row r="10" spans="1:8">
      <c r="A10" t="s">
        <v>16</v>
      </c>
      <c r="B10" t="s">
        <v>17</v>
      </c>
      <c r="C10" s="11">
        <v>100</v>
      </c>
      <c r="D10" s="13">
        <v>4620</v>
      </c>
      <c r="E10" s="14">
        <v>1.3500000000000003</v>
      </c>
      <c r="F10" s="10">
        <v>20493</v>
      </c>
      <c r="G10" s="10">
        <v>3110.8600000000006</v>
      </c>
      <c r="H10" s="10">
        <v>5899.84</v>
      </c>
    </row>
    <row r="11" spans="1:8">
      <c r="B11" t="s">
        <v>18</v>
      </c>
      <c r="C11" s="11">
        <v>91</v>
      </c>
      <c r="D11" s="13">
        <v>9880</v>
      </c>
      <c r="E11" s="14">
        <v>1.6500000000000001</v>
      </c>
      <c r="F11" s="10">
        <v>43082</v>
      </c>
      <c r="G11" s="10">
        <v>6988.83</v>
      </c>
      <c r="H11" s="10">
        <v>9561.73</v>
      </c>
    </row>
    <row r="12" spans="1:8">
      <c r="A12" t="s">
        <v>19</v>
      </c>
      <c r="C12" s="11">
        <v>191</v>
      </c>
      <c r="D12" s="13">
        <v>14500</v>
      </c>
      <c r="E12" s="14">
        <v>3.0000000000000004</v>
      </c>
      <c r="F12" s="10">
        <v>63575</v>
      </c>
      <c r="G12" s="10">
        <v>10099.69</v>
      </c>
      <c r="H12" s="10">
        <v>15461.57</v>
      </c>
    </row>
    <row r="13" spans="1:8">
      <c r="A13" t="s">
        <v>20</v>
      </c>
      <c r="B13" t="s">
        <v>21</v>
      </c>
      <c r="C13" s="11">
        <v>97</v>
      </c>
      <c r="D13" s="13">
        <v>1440</v>
      </c>
      <c r="E13" s="14">
        <v>1.9500000000000002</v>
      </c>
      <c r="F13" s="10">
        <v>5361</v>
      </c>
      <c r="G13" s="10">
        <v>986.09999999999991</v>
      </c>
      <c r="H13" s="10">
        <v>1351.8999999999999</v>
      </c>
    </row>
    <row r="14" spans="1:8">
      <c r="B14" t="s">
        <v>22</v>
      </c>
      <c r="C14" s="11">
        <v>79</v>
      </c>
      <c r="D14" s="13">
        <v>640</v>
      </c>
      <c r="E14" s="14">
        <v>0.95000000000000007</v>
      </c>
      <c r="F14" s="10">
        <v>3008</v>
      </c>
      <c r="G14" s="10">
        <v>430.77</v>
      </c>
      <c r="H14" s="10">
        <v>830.51999999999987</v>
      </c>
    </row>
    <row r="15" spans="1:8">
      <c r="A15" t="s">
        <v>23</v>
      </c>
      <c r="C15" s="11">
        <v>176</v>
      </c>
      <c r="D15" s="13">
        <v>2080</v>
      </c>
      <c r="E15" s="14">
        <v>2.9000000000000004</v>
      </c>
      <c r="F15" s="10">
        <v>8369</v>
      </c>
      <c r="G15" s="10">
        <v>1416.87</v>
      </c>
      <c r="H15" s="10">
        <v>2182.4199999999996</v>
      </c>
    </row>
    <row r="16" spans="1:8">
      <c r="A16" t="s">
        <v>24</v>
      </c>
      <c r="C16" s="11">
        <v>670</v>
      </c>
      <c r="D16" s="13">
        <v>47750</v>
      </c>
      <c r="E16" s="14">
        <v>12.100000000000001</v>
      </c>
      <c r="F16" s="10">
        <v>200923</v>
      </c>
      <c r="G16" s="10">
        <v>32542.609999999997</v>
      </c>
      <c r="H16" s="10">
        <v>52153.17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DCD9-B76D-48C3-8139-D3E4A428E4C0}">
  <dimension ref="A3:B8"/>
  <sheetViews>
    <sheetView workbookViewId="0">
      <selection activeCell="A3" sqref="A3:B7"/>
    </sheetView>
  </sheetViews>
  <sheetFormatPr defaultRowHeight="15"/>
  <cols>
    <col min="1" max="1" width="12.28515625" bestFit="1" customWidth="1"/>
    <col min="2" max="2" width="18.28515625" bestFit="1" customWidth="1"/>
  </cols>
  <sheetData>
    <row r="3" spans="1:2">
      <c r="A3" s="12" t="s">
        <v>0</v>
      </c>
      <c r="B3" t="s">
        <v>5</v>
      </c>
    </row>
    <row r="4" spans="1:2">
      <c r="A4" t="s">
        <v>8</v>
      </c>
      <c r="B4" s="10">
        <v>69601.5</v>
      </c>
    </row>
    <row r="5" spans="1:2">
      <c r="A5" t="s">
        <v>12</v>
      </c>
      <c r="B5" s="10">
        <v>59377.5</v>
      </c>
    </row>
    <row r="6" spans="1:2">
      <c r="A6" t="s">
        <v>16</v>
      </c>
      <c r="B6" s="10">
        <v>63575</v>
      </c>
    </row>
    <row r="7" spans="1:2">
      <c r="A7" t="s">
        <v>20</v>
      </c>
      <c r="B7" s="10">
        <v>8369</v>
      </c>
    </row>
    <row r="8" spans="1:2">
      <c r="A8" t="s">
        <v>24</v>
      </c>
      <c r="B8" s="10">
        <v>200923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324C-407B-4285-8FA8-944941957EB6}">
  <dimension ref="A3:B6"/>
  <sheetViews>
    <sheetView workbookViewId="0">
      <selection activeCell="A3" sqref="A3:B6"/>
    </sheetView>
  </sheetViews>
  <sheetFormatPr defaultRowHeight="15"/>
  <cols>
    <col min="1" max="1" width="14.7109375" bestFit="1" customWidth="1"/>
    <col min="2" max="2" width="17.7109375" bestFit="1" customWidth="1"/>
  </cols>
  <sheetData>
    <row r="3" spans="1:2">
      <c r="A3" s="12" t="s">
        <v>25</v>
      </c>
      <c r="B3" t="s">
        <v>26</v>
      </c>
    </row>
    <row r="4" spans="1:2">
      <c r="A4" t="s">
        <v>27</v>
      </c>
      <c r="B4" s="15">
        <v>40</v>
      </c>
    </row>
    <row r="5" spans="1:2">
      <c r="A5" t="s">
        <v>28</v>
      </c>
      <c r="B5" s="15">
        <v>110</v>
      </c>
    </row>
    <row r="6" spans="1:2">
      <c r="A6" t="s">
        <v>24</v>
      </c>
      <c r="B6" s="15">
        <v>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"/>
  <sheetViews>
    <sheetView tabSelected="1" workbookViewId="0">
      <pane ySplit="1" topLeftCell="A2" activePane="bottomLeft" state="frozen"/>
      <selection pane="bottomLeft" activeCell="A2" sqref="A2:T151"/>
    </sheetView>
  </sheetViews>
  <sheetFormatPr defaultRowHeight="15"/>
  <cols>
    <col min="2" max="2" width="11.85546875" customWidth="1"/>
    <col min="3" max="3" width="10.85546875" customWidth="1"/>
    <col min="4" max="4" width="14.5703125" customWidth="1"/>
    <col min="5" max="5" width="11.5703125" customWidth="1"/>
    <col min="7" max="7" width="10.140625" customWidth="1"/>
    <col min="8" max="8" width="14.140625" customWidth="1"/>
    <col min="10" max="10" width="11" customWidth="1"/>
    <col min="12" max="12" width="13" customWidth="1"/>
    <col min="13" max="13" width="11" customWidth="1"/>
    <col min="14" max="14" width="10.85546875" customWidth="1"/>
    <col min="15" max="16" width="16.5703125" customWidth="1"/>
    <col min="17" max="17" width="13.28515625" customWidth="1"/>
    <col min="18" max="18" width="11.85546875" customWidth="1"/>
    <col min="19" max="19" width="11.140625" customWidth="1"/>
    <col min="20" max="20" width="13.140625" customWidth="1"/>
    <col min="21" max="21" width="21.7109375" customWidth="1"/>
  </cols>
  <sheetData>
    <row r="1" spans="1:20">
      <c r="A1" s="6" t="s">
        <v>29</v>
      </c>
      <c r="B1" s="7" t="s">
        <v>30</v>
      </c>
      <c r="C1" s="7" t="s">
        <v>31</v>
      </c>
      <c r="D1" s="7" t="s">
        <v>1</v>
      </c>
      <c r="E1" s="7" t="s">
        <v>0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t="s">
        <v>25</v>
      </c>
      <c r="Q1" s="16" t="s">
        <v>42</v>
      </c>
      <c r="R1" s="16" t="s">
        <v>43</v>
      </c>
      <c r="S1" s="16" t="s">
        <v>44</v>
      </c>
      <c r="T1" s="16" t="s">
        <v>45</v>
      </c>
    </row>
    <row r="2" spans="1:20">
      <c r="A2" s="1" t="s">
        <v>46</v>
      </c>
      <c r="B2" s="2">
        <v>46028</v>
      </c>
      <c r="C2" s="3" t="s">
        <v>47</v>
      </c>
      <c r="D2" s="3" t="s">
        <v>10</v>
      </c>
      <c r="E2" s="3" t="s">
        <v>8</v>
      </c>
      <c r="F2" s="3" t="s">
        <v>48</v>
      </c>
      <c r="G2" s="3" t="s">
        <v>49</v>
      </c>
      <c r="H2" s="3" t="s">
        <v>50</v>
      </c>
      <c r="I2" s="8">
        <v>4</v>
      </c>
      <c r="J2" s="5">
        <v>180</v>
      </c>
      <c r="K2" s="9">
        <v>0.05</v>
      </c>
      <c r="L2" s="4">
        <v>684</v>
      </c>
      <c r="M2" s="4">
        <v>127.09</v>
      </c>
      <c r="N2" s="4">
        <v>175.64</v>
      </c>
      <c r="O2" s="3" t="s">
        <v>51</v>
      </c>
      <c r="P2" t="str">
        <f>IF(L2&gt;=2000,"High Sales","Low Sales")</f>
        <v>Low Sales</v>
      </c>
      <c r="Q2" s="10">
        <f>SUM(L2:L151)</f>
        <v>200923</v>
      </c>
      <c r="R2" s="10">
        <f>SUM(N2:N151)</f>
        <v>52153.170000000013</v>
      </c>
      <c r="S2">
        <f>COUNTA(A2:A151)</f>
        <v>150</v>
      </c>
      <c r="T2" s="11">
        <f>SUM(I2:I151)</f>
        <v>670</v>
      </c>
    </row>
    <row r="3" spans="1:20">
      <c r="A3" s="1" t="s">
        <v>52</v>
      </c>
      <c r="B3" s="2">
        <v>46031</v>
      </c>
      <c r="C3" s="3" t="s">
        <v>47</v>
      </c>
      <c r="D3" s="3" t="s">
        <v>10</v>
      </c>
      <c r="E3" s="3" t="s">
        <v>8</v>
      </c>
      <c r="F3" s="3" t="s">
        <v>48</v>
      </c>
      <c r="G3" s="3" t="s">
        <v>53</v>
      </c>
      <c r="H3" s="3" t="s">
        <v>54</v>
      </c>
      <c r="I3" s="8">
        <v>6</v>
      </c>
      <c r="J3" s="5">
        <v>180</v>
      </c>
      <c r="K3" s="9">
        <v>0.15</v>
      </c>
      <c r="L3" s="4">
        <v>918</v>
      </c>
      <c r="M3" s="4">
        <v>137.97</v>
      </c>
      <c r="N3" s="4">
        <v>90.18</v>
      </c>
      <c r="O3" s="3" t="s">
        <v>51</v>
      </c>
      <c r="P3" t="str">
        <f t="shared" ref="P3:P66" si="0">IF(L3&gt;=2000,"High Sales","Low Sales")</f>
        <v>Low Sales</v>
      </c>
    </row>
    <row r="4" spans="1:20">
      <c r="A4" s="1" t="s">
        <v>55</v>
      </c>
      <c r="B4" s="2">
        <v>46037</v>
      </c>
      <c r="C4" s="3" t="s">
        <v>56</v>
      </c>
      <c r="D4" s="3" t="s">
        <v>9</v>
      </c>
      <c r="E4" s="3" t="s">
        <v>8</v>
      </c>
      <c r="F4" s="3" t="s">
        <v>57</v>
      </c>
      <c r="G4" s="3" t="s">
        <v>49</v>
      </c>
      <c r="H4" s="3" t="s">
        <v>50</v>
      </c>
      <c r="I4" s="8">
        <v>5</v>
      </c>
      <c r="J4" s="5">
        <v>750</v>
      </c>
      <c r="K4" s="9">
        <v>0</v>
      </c>
      <c r="L4" s="4">
        <v>3750</v>
      </c>
      <c r="M4" s="4">
        <v>472.9</v>
      </c>
      <c r="N4" s="4">
        <v>1385.5</v>
      </c>
      <c r="O4" s="3" t="s">
        <v>58</v>
      </c>
      <c r="P4" t="str">
        <f t="shared" si="0"/>
        <v>High Sales</v>
      </c>
    </row>
    <row r="5" spans="1:20">
      <c r="A5" s="1" t="s">
        <v>59</v>
      </c>
      <c r="B5" s="2">
        <v>46040</v>
      </c>
      <c r="C5" s="3" t="s">
        <v>60</v>
      </c>
      <c r="D5" s="3" t="s">
        <v>22</v>
      </c>
      <c r="E5" s="3" t="s">
        <v>20</v>
      </c>
      <c r="F5" s="3" t="s">
        <v>61</v>
      </c>
      <c r="G5" s="3" t="s">
        <v>62</v>
      </c>
      <c r="H5" s="3" t="s">
        <v>63</v>
      </c>
      <c r="I5" s="8">
        <v>8</v>
      </c>
      <c r="J5" s="5">
        <v>40</v>
      </c>
      <c r="K5" s="9">
        <v>0.15</v>
      </c>
      <c r="L5" s="4">
        <v>272</v>
      </c>
      <c r="M5" s="4">
        <v>23.33</v>
      </c>
      <c r="N5" s="4">
        <v>85.36</v>
      </c>
      <c r="O5" s="3" t="s">
        <v>51</v>
      </c>
      <c r="P5" t="str">
        <f t="shared" si="0"/>
        <v>Low Sales</v>
      </c>
    </row>
    <row r="6" spans="1:20">
      <c r="A6" s="1" t="s">
        <v>64</v>
      </c>
      <c r="B6" s="2">
        <v>46044</v>
      </c>
      <c r="C6" s="3" t="s">
        <v>56</v>
      </c>
      <c r="D6" s="3" t="s">
        <v>9</v>
      </c>
      <c r="E6" s="3" t="s">
        <v>8</v>
      </c>
      <c r="F6" s="3" t="s">
        <v>48</v>
      </c>
      <c r="G6" s="3" t="s">
        <v>53</v>
      </c>
      <c r="H6" s="3" t="s">
        <v>50</v>
      </c>
      <c r="I6" s="8">
        <v>5</v>
      </c>
      <c r="J6" s="5">
        <v>750</v>
      </c>
      <c r="K6" s="9">
        <v>0.1</v>
      </c>
      <c r="L6" s="4">
        <v>3375</v>
      </c>
      <c r="M6" s="4">
        <v>458.38</v>
      </c>
      <c r="N6" s="4">
        <v>1083.0999999999999</v>
      </c>
      <c r="O6" s="3" t="s">
        <v>65</v>
      </c>
      <c r="P6" t="str">
        <f t="shared" si="0"/>
        <v>High Sales</v>
      </c>
    </row>
    <row r="7" spans="1:20">
      <c r="A7" s="1" t="s">
        <v>66</v>
      </c>
      <c r="B7" s="2">
        <v>46044</v>
      </c>
      <c r="C7" s="3" t="s">
        <v>67</v>
      </c>
      <c r="D7" s="3" t="s">
        <v>21</v>
      </c>
      <c r="E7" s="3" t="s">
        <v>20</v>
      </c>
      <c r="F7" s="3" t="s">
        <v>61</v>
      </c>
      <c r="G7" s="3" t="s">
        <v>68</v>
      </c>
      <c r="H7" s="3" t="s">
        <v>54</v>
      </c>
      <c r="I7" s="8">
        <v>1</v>
      </c>
      <c r="J7" s="5">
        <v>60</v>
      </c>
      <c r="K7" s="9">
        <v>0.15</v>
      </c>
      <c r="L7" s="4">
        <v>51</v>
      </c>
      <c r="M7" s="4">
        <v>36.71</v>
      </c>
      <c r="N7" s="4">
        <v>14.29</v>
      </c>
      <c r="O7" s="3" t="s">
        <v>51</v>
      </c>
      <c r="P7" t="str">
        <f t="shared" si="0"/>
        <v>Low Sales</v>
      </c>
    </row>
    <row r="8" spans="1:20">
      <c r="A8" s="1" t="s">
        <v>69</v>
      </c>
      <c r="B8" s="2">
        <v>46047</v>
      </c>
      <c r="C8" s="3" t="s">
        <v>70</v>
      </c>
      <c r="D8" s="3" t="s">
        <v>13</v>
      </c>
      <c r="E8" s="3" t="s">
        <v>12</v>
      </c>
      <c r="F8" s="3" t="s">
        <v>71</v>
      </c>
      <c r="G8" s="3" t="s">
        <v>72</v>
      </c>
      <c r="H8" s="3" t="s">
        <v>63</v>
      </c>
      <c r="I8" s="8">
        <v>3</v>
      </c>
      <c r="J8" s="5">
        <v>450</v>
      </c>
      <c r="K8" s="9">
        <v>0.15</v>
      </c>
      <c r="L8" s="4">
        <v>1147.5</v>
      </c>
      <c r="M8" s="4">
        <v>262.89999999999998</v>
      </c>
      <c r="N8" s="4">
        <v>358.8</v>
      </c>
      <c r="O8" s="3" t="s">
        <v>65</v>
      </c>
      <c r="P8" t="str">
        <f t="shared" si="0"/>
        <v>Low Sales</v>
      </c>
    </row>
    <row r="9" spans="1:20">
      <c r="A9" s="1" t="s">
        <v>73</v>
      </c>
      <c r="B9" s="2">
        <v>46049</v>
      </c>
      <c r="C9" s="3" t="s">
        <v>67</v>
      </c>
      <c r="D9" s="3" t="s">
        <v>21</v>
      </c>
      <c r="E9" s="3" t="s">
        <v>20</v>
      </c>
      <c r="F9" s="3" t="s">
        <v>61</v>
      </c>
      <c r="G9" s="3" t="s">
        <v>62</v>
      </c>
      <c r="H9" s="3" t="s">
        <v>50</v>
      </c>
      <c r="I9" s="8">
        <v>3</v>
      </c>
      <c r="J9" s="5">
        <v>60</v>
      </c>
      <c r="K9" s="9">
        <v>0.05</v>
      </c>
      <c r="L9" s="4">
        <v>171</v>
      </c>
      <c r="M9" s="4">
        <v>38.01</v>
      </c>
      <c r="N9" s="4">
        <v>56.97</v>
      </c>
      <c r="O9" s="3" t="s">
        <v>58</v>
      </c>
      <c r="P9" t="str">
        <f t="shared" si="0"/>
        <v>Low Sales</v>
      </c>
    </row>
    <row r="10" spans="1:20">
      <c r="A10" s="1" t="s">
        <v>74</v>
      </c>
      <c r="B10" s="2">
        <v>46052</v>
      </c>
      <c r="C10" s="3" t="s">
        <v>56</v>
      </c>
      <c r="D10" s="3" t="s">
        <v>9</v>
      </c>
      <c r="E10" s="3" t="s">
        <v>8</v>
      </c>
      <c r="F10" s="3" t="s">
        <v>61</v>
      </c>
      <c r="G10" s="3" t="s">
        <v>72</v>
      </c>
      <c r="H10" s="3" t="s">
        <v>63</v>
      </c>
      <c r="I10" s="8">
        <v>3</v>
      </c>
      <c r="J10" s="5">
        <v>750</v>
      </c>
      <c r="K10" s="9">
        <v>0.1</v>
      </c>
      <c r="L10" s="4">
        <v>2025</v>
      </c>
      <c r="M10" s="4">
        <v>461.71</v>
      </c>
      <c r="N10" s="4">
        <v>639.87</v>
      </c>
      <c r="O10" s="3" t="s">
        <v>58</v>
      </c>
      <c r="P10" t="str">
        <f t="shared" si="0"/>
        <v>High Sales</v>
      </c>
    </row>
    <row r="11" spans="1:20">
      <c r="A11" s="1" t="s">
        <v>75</v>
      </c>
      <c r="B11" s="2">
        <v>46055</v>
      </c>
      <c r="C11" s="3" t="s">
        <v>60</v>
      </c>
      <c r="D11" s="3" t="s">
        <v>22</v>
      </c>
      <c r="E11" s="3" t="s">
        <v>20</v>
      </c>
      <c r="F11" s="3" t="s">
        <v>48</v>
      </c>
      <c r="G11" s="3" t="s">
        <v>72</v>
      </c>
      <c r="H11" s="3" t="s">
        <v>50</v>
      </c>
      <c r="I11" s="8">
        <v>2</v>
      </c>
      <c r="J11" s="5">
        <v>40</v>
      </c>
      <c r="K11" s="9">
        <v>0.1</v>
      </c>
      <c r="L11" s="4">
        <v>72</v>
      </c>
      <c r="M11" s="4">
        <v>24.03</v>
      </c>
      <c r="N11" s="4">
        <v>23.94</v>
      </c>
      <c r="O11" s="3" t="s">
        <v>58</v>
      </c>
      <c r="P11" t="str">
        <f t="shared" si="0"/>
        <v>Low Sales</v>
      </c>
    </row>
    <row r="12" spans="1:20">
      <c r="A12" s="1" t="s">
        <v>76</v>
      </c>
      <c r="B12" s="2">
        <v>46057</v>
      </c>
      <c r="C12" s="3" t="s">
        <v>70</v>
      </c>
      <c r="D12" s="3" t="s">
        <v>13</v>
      </c>
      <c r="E12" s="3" t="s">
        <v>12</v>
      </c>
      <c r="F12" s="3" t="s">
        <v>61</v>
      </c>
      <c r="G12" s="3" t="s">
        <v>53</v>
      </c>
      <c r="H12" s="3" t="s">
        <v>54</v>
      </c>
      <c r="I12" s="8">
        <v>8</v>
      </c>
      <c r="J12" s="5">
        <v>450</v>
      </c>
      <c r="K12" s="9">
        <v>0.05</v>
      </c>
      <c r="L12" s="4">
        <v>3420</v>
      </c>
      <c r="M12" s="4">
        <v>284.48</v>
      </c>
      <c r="N12" s="4">
        <v>1144.1600000000001</v>
      </c>
      <c r="O12" s="3" t="s">
        <v>51</v>
      </c>
      <c r="P12" t="str">
        <f t="shared" si="0"/>
        <v>High Sales</v>
      </c>
    </row>
    <row r="13" spans="1:20">
      <c r="A13" s="1" t="s">
        <v>77</v>
      </c>
      <c r="B13" s="2">
        <v>46058</v>
      </c>
      <c r="C13" s="3" t="s">
        <v>67</v>
      </c>
      <c r="D13" s="3" t="s">
        <v>21</v>
      </c>
      <c r="E13" s="3" t="s">
        <v>20</v>
      </c>
      <c r="F13" s="3" t="s">
        <v>61</v>
      </c>
      <c r="G13" s="3" t="s">
        <v>68</v>
      </c>
      <c r="H13" s="3" t="s">
        <v>54</v>
      </c>
      <c r="I13" s="8">
        <v>2</v>
      </c>
      <c r="J13" s="5">
        <v>60</v>
      </c>
      <c r="K13" s="9">
        <v>0.1</v>
      </c>
      <c r="L13" s="4">
        <v>108</v>
      </c>
      <c r="M13" s="4">
        <v>42.96</v>
      </c>
      <c r="N13" s="4">
        <v>22.08</v>
      </c>
      <c r="O13" s="3" t="s">
        <v>65</v>
      </c>
      <c r="P13" t="str">
        <f t="shared" si="0"/>
        <v>Low Sales</v>
      </c>
    </row>
    <row r="14" spans="1:20">
      <c r="A14" s="1" t="s">
        <v>78</v>
      </c>
      <c r="B14" s="2">
        <v>46059</v>
      </c>
      <c r="C14" s="3" t="s">
        <v>79</v>
      </c>
      <c r="D14" s="3" t="s">
        <v>14</v>
      </c>
      <c r="E14" s="3" t="s">
        <v>12</v>
      </c>
      <c r="F14" s="3" t="s">
        <v>71</v>
      </c>
      <c r="G14" s="3" t="s">
        <v>53</v>
      </c>
      <c r="H14" s="3" t="s">
        <v>50</v>
      </c>
      <c r="I14" s="8">
        <v>7</v>
      </c>
      <c r="J14" s="5">
        <v>650</v>
      </c>
      <c r="K14" s="9">
        <v>0.15</v>
      </c>
      <c r="L14" s="4">
        <v>3867.5</v>
      </c>
      <c r="M14" s="4">
        <v>498.11</v>
      </c>
      <c r="N14" s="4">
        <v>380.73</v>
      </c>
      <c r="O14" s="3" t="s">
        <v>65</v>
      </c>
      <c r="P14" t="str">
        <f t="shared" si="0"/>
        <v>High Sales</v>
      </c>
    </row>
    <row r="15" spans="1:20">
      <c r="A15" s="1" t="s">
        <v>80</v>
      </c>
      <c r="B15" s="2">
        <v>46059</v>
      </c>
      <c r="C15" s="3" t="s">
        <v>81</v>
      </c>
      <c r="D15" s="3" t="s">
        <v>17</v>
      </c>
      <c r="E15" s="3" t="s">
        <v>16</v>
      </c>
      <c r="F15" s="3" t="s">
        <v>57</v>
      </c>
      <c r="G15" s="3" t="s">
        <v>49</v>
      </c>
      <c r="H15" s="3" t="s">
        <v>50</v>
      </c>
      <c r="I15" s="8">
        <v>8</v>
      </c>
      <c r="J15" s="5">
        <v>220</v>
      </c>
      <c r="K15" s="9">
        <v>0.1</v>
      </c>
      <c r="L15" s="4">
        <v>1584</v>
      </c>
      <c r="M15" s="4">
        <v>147.71</v>
      </c>
      <c r="N15" s="4">
        <v>402.32</v>
      </c>
      <c r="O15" s="3" t="s">
        <v>58</v>
      </c>
      <c r="P15" t="str">
        <f t="shared" si="0"/>
        <v>Low Sales</v>
      </c>
    </row>
    <row r="16" spans="1:20">
      <c r="A16" s="1" t="s">
        <v>82</v>
      </c>
      <c r="B16" s="2">
        <v>46059</v>
      </c>
      <c r="C16" s="3" t="s">
        <v>67</v>
      </c>
      <c r="D16" s="3" t="s">
        <v>21</v>
      </c>
      <c r="E16" s="3" t="s">
        <v>20</v>
      </c>
      <c r="F16" s="3" t="s">
        <v>57</v>
      </c>
      <c r="G16" s="3" t="s">
        <v>72</v>
      </c>
      <c r="H16" s="3" t="s">
        <v>63</v>
      </c>
      <c r="I16" s="8">
        <v>8</v>
      </c>
      <c r="J16" s="5">
        <v>60</v>
      </c>
      <c r="K16" s="9">
        <v>0.1</v>
      </c>
      <c r="L16" s="4">
        <v>432</v>
      </c>
      <c r="M16" s="4">
        <v>35.159999999999997</v>
      </c>
      <c r="N16" s="4">
        <v>150.72</v>
      </c>
      <c r="O16" s="3" t="s">
        <v>58</v>
      </c>
      <c r="P16" t="str">
        <f t="shared" si="0"/>
        <v>Low Sales</v>
      </c>
    </row>
    <row r="17" spans="1:16">
      <c r="A17" s="1" t="s">
        <v>83</v>
      </c>
      <c r="B17" s="2">
        <v>46061</v>
      </c>
      <c r="C17" s="3" t="s">
        <v>79</v>
      </c>
      <c r="D17" s="3" t="s">
        <v>14</v>
      </c>
      <c r="E17" s="3" t="s">
        <v>12</v>
      </c>
      <c r="F17" s="3" t="s">
        <v>71</v>
      </c>
      <c r="G17" s="3" t="s">
        <v>68</v>
      </c>
      <c r="H17" s="3" t="s">
        <v>50</v>
      </c>
      <c r="I17" s="8">
        <v>6</v>
      </c>
      <c r="J17" s="5">
        <v>650</v>
      </c>
      <c r="K17" s="9">
        <v>0</v>
      </c>
      <c r="L17" s="4">
        <v>3900</v>
      </c>
      <c r="M17" s="4">
        <v>438.95</v>
      </c>
      <c r="N17" s="4">
        <v>1266.3</v>
      </c>
      <c r="O17" s="3" t="s">
        <v>65</v>
      </c>
      <c r="P17" t="str">
        <f t="shared" si="0"/>
        <v>High Sales</v>
      </c>
    </row>
    <row r="18" spans="1:16">
      <c r="A18" s="1" t="s">
        <v>84</v>
      </c>
      <c r="B18" s="2">
        <v>46061</v>
      </c>
      <c r="C18" s="3" t="s">
        <v>60</v>
      </c>
      <c r="D18" s="3" t="s">
        <v>22</v>
      </c>
      <c r="E18" s="3" t="s">
        <v>20</v>
      </c>
      <c r="F18" s="3" t="s">
        <v>71</v>
      </c>
      <c r="G18" s="3" t="s">
        <v>49</v>
      </c>
      <c r="H18" s="3" t="s">
        <v>50</v>
      </c>
      <c r="I18" s="8">
        <v>8</v>
      </c>
      <c r="J18" s="5">
        <v>40</v>
      </c>
      <c r="K18" s="9">
        <v>0</v>
      </c>
      <c r="L18" s="4">
        <v>320</v>
      </c>
      <c r="M18" s="4">
        <v>28.37</v>
      </c>
      <c r="N18" s="4">
        <v>93.04</v>
      </c>
      <c r="O18" s="3" t="s">
        <v>58</v>
      </c>
      <c r="P18" t="str">
        <f t="shared" si="0"/>
        <v>Low Sales</v>
      </c>
    </row>
    <row r="19" spans="1:16">
      <c r="A19" s="1" t="s">
        <v>85</v>
      </c>
      <c r="B19" s="2">
        <v>46061</v>
      </c>
      <c r="C19" s="3" t="s">
        <v>47</v>
      </c>
      <c r="D19" s="3" t="s">
        <v>10</v>
      </c>
      <c r="E19" s="3" t="s">
        <v>8</v>
      </c>
      <c r="F19" s="3" t="s">
        <v>57</v>
      </c>
      <c r="G19" s="3" t="s">
        <v>53</v>
      </c>
      <c r="H19" s="3" t="s">
        <v>50</v>
      </c>
      <c r="I19" s="8">
        <v>1</v>
      </c>
      <c r="J19" s="5">
        <v>180</v>
      </c>
      <c r="K19" s="9">
        <v>0.1</v>
      </c>
      <c r="L19" s="4">
        <v>162</v>
      </c>
      <c r="M19" s="4">
        <v>118.55</v>
      </c>
      <c r="N19" s="4">
        <v>43.45</v>
      </c>
      <c r="O19" s="3" t="s">
        <v>65</v>
      </c>
      <c r="P19" t="str">
        <f t="shared" si="0"/>
        <v>Low Sales</v>
      </c>
    </row>
    <row r="20" spans="1:16">
      <c r="A20" s="1" t="s">
        <v>86</v>
      </c>
      <c r="B20" s="2">
        <v>46063</v>
      </c>
      <c r="C20" s="3" t="s">
        <v>60</v>
      </c>
      <c r="D20" s="3" t="s">
        <v>22</v>
      </c>
      <c r="E20" s="3" t="s">
        <v>20</v>
      </c>
      <c r="F20" s="3" t="s">
        <v>48</v>
      </c>
      <c r="G20" s="3" t="s">
        <v>68</v>
      </c>
      <c r="H20" s="3" t="s">
        <v>54</v>
      </c>
      <c r="I20" s="8">
        <v>6</v>
      </c>
      <c r="J20" s="5">
        <v>40</v>
      </c>
      <c r="K20" s="9">
        <v>0</v>
      </c>
      <c r="L20" s="4">
        <v>240</v>
      </c>
      <c r="M20" s="4">
        <v>28.41</v>
      </c>
      <c r="N20" s="4">
        <v>69.540000000000006</v>
      </c>
      <c r="O20" s="3" t="s">
        <v>65</v>
      </c>
      <c r="P20" t="str">
        <f t="shared" si="0"/>
        <v>Low Sales</v>
      </c>
    </row>
    <row r="21" spans="1:16">
      <c r="A21" s="1" t="s">
        <v>87</v>
      </c>
      <c r="B21" s="2">
        <v>46064</v>
      </c>
      <c r="C21" s="3" t="s">
        <v>81</v>
      </c>
      <c r="D21" s="3" t="s">
        <v>17</v>
      </c>
      <c r="E21" s="3" t="s">
        <v>16</v>
      </c>
      <c r="F21" s="3" t="s">
        <v>57</v>
      </c>
      <c r="G21" s="3" t="s">
        <v>62</v>
      </c>
      <c r="H21" s="3" t="s">
        <v>50</v>
      </c>
      <c r="I21" s="8">
        <v>7</v>
      </c>
      <c r="J21" s="5">
        <v>220</v>
      </c>
      <c r="K21" s="9">
        <v>0.1</v>
      </c>
      <c r="L21" s="4">
        <v>1386</v>
      </c>
      <c r="M21" s="4">
        <v>131.9</v>
      </c>
      <c r="N21" s="4">
        <v>462.7</v>
      </c>
      <c r="O21" s="3" t="s">
        <v>51</v>
      </c>
      <c r="P21" t="str">
        <f t="shared" si="0"/>
        <v>Low Sales</v>
      </c>
    </row>
    <row r="22" spans="1:16">
      <c r="A22" s="1" t="s">
        <v>88</v>
      </c>
      <c r="B22" s="2">
        <v>46069</v>
      </c>
      <c r="C22" s="3" t="s">
        <v>67</v>
      </c>
      <c r="D22" s="3" t="s">
        <v>21</v>
      </c>
      <c r="E22" s="3" t="s">
        <v>20</v>
      </c>
      <c r="F22" s="3" t="s">
        <v>48</v>
      </c>
      <c r="G22" s="3" t="s">
        <v>49</v>
      </c>
      <c r="H22" s="3" t="s">
        <v>54</v>
      </c>
      <c r="I22" s="8">
        <v>2</v>
      </c>
      <c r="J22" s="5">
        <v>60</v>
      </c>
      <c r="K22" s="9">
        <v>0.1</v>
      </c>
      <c r="L22" s="4">
        <v>108</v>
      </c>
      <c r="M22" s="4">
        <v>40.299999999999997</v>
      </c>
      <c r="N22" s="4">
        <v>27.4</v>
      </c>
      <c r="O22" s="3" t="s">
        <v>65</v>
      </c>
      <c r="P22" t="str">
        <f t="shared" si="0"/>
        <v>Low Sales</v>
      </c>
    </row>
    <row r="23" spans="1:16">
      <c r="A23" s="1" t="s">
        <v>89</v>
      </c>
      <c r="B23" s="2">
        <v>46069</v>
      </c>
      <c r="C23" s="3" t="s">
        <v>70</v>
      </c>
      <c r="D23" s="3" t="s">
        <v>13</v>
      </c>
      <c r="E23" s="3" t="s">
        <v>12</v>
      </c>
      <c r="F23" s="3" t="s">
        <v>71</v>
      </c>
      <c r="G23" s="3" t="s">
        <v>62</v>
      </c>
      <c r="H23" s="3" t="s">
        <v>54</v>
      </c>
      <c r="I23" s="8">
        <v>7</v>
      </c>
      <c r="J23" s="5">
        <v>450</v>
      </c>
      <c r="K23" s="9">
        <v>0.05</v>
      </c>
      <c r="L23" s="4">
        <v>2992.5</v>
      </c>
      <c r="M23" s="4">
        <v>309.74</v>
      </c>
      <c r="N23" s="4">
        <v>824.32</v>
      </c>
      <c r="O23" s="3" t="s">
        <v>58</v>
      </c>
      <c r="P23" t="str">
        <f t="shared" si="0"/>
        <v>High Sales</v>
      </c>
    </row>
    <row r="24" spans="1:16">
      <c r="A24" s="1" t="s">
        <v>90</v>
      </c>
      <c r="B24" s="2">
        <v>46071</v>
      </c>
      <c r="C24" s="3" t="s">
        <v>47</v>
      </c>
      <c r="D24" s="3" t="s">
        <v>10</v>
      </c>
      <c r="E24" s="3" t="s">
        <v>8</v>
      </c>
      <c r="F24" s="3" t="s">
        <v>48</v>
      </c>
      <c r="G24" s="3" t="s">
        <v>72</v>
      </c>
      <c r="H24" s="3" t="s">
        <v>50</v>
      </c>
      <c r="I24" s="8">
        <v>3</v>
      </c>
      <c r="J24" s="5">
        <v>180</v>
      </c>
      <c r="K24" s="9">
        <v>0.05</v>
      </c>
      <c r="L24" s="4">
        <v>513</v>
      </c>
      <c r="M24" s="4">
        <v>116.86</v>
      </c>
      <c r="N24" s="4">
        <v>162.41999999999999</v>
      </c>
      <c r="O24" s="3" t="s">
        <v>65</v>
      </c>
      <c r="P24" t="str">
        <f t="shared" si="0"/>
        <v>Low Sales</v>
      </c>
    </row>
    <row r="25" spans="1:16">
      <c r="A25" s="1" t="s">
        <v>91</v>
      </c>
      <c r="B25" s="2">
        <v>46072</v>
      </c>
      <c r="C25" s="3" t="s">
        <v>60</v>
      </c>
      <c r="D25" s="3" t="s">
        <v>22</v>
      </c>
      <c r="E25" s="3" t="s">
        <v>20</v>
      </c>
      <c r="F25" s="3" t="s">
        <v>61</v>
      </c>
      <c r="G25" s="3" t="s">
        <v>62</v>
      </c>
      <c r="H25" s="3" t="s">
        <v>50</v>
      </c>
      <c r="I25" s="8">
        <v>4</v>
      </c>
      <c r="J25" s="5">
        <v>40</v>
      </c>
      <c r="K25" s="9">
        <v>0.05</v>
      </c>
      <c r="L25" s="4">
        <v>152</v>
      </c>
      <c r="M25" s="4">
        <v>24.45</v>
      </c>
      <c r="N25" s="4">
        <v>54.2</v>
      </c>
      <c r="O25" s="3" t="s">
        <v>58</v>
      </c>
      <c r="P25" t="str">
        <f t="shared" si="0"/>
        <v>Low Sales</v>
      </c>
    </row>
    <row r="26" spans="1:16">
      <c r="A26" s="1" t="s">
        <v>92</v>
      </c>
      <c r="B26" s="2">
        <v>46076</v>
      </c>
      <c r="C26" s="3" t="s">
        <v>47</v>
      </c>
      <c r="D26" s="3" t="s">
        <v>10</v>
      </c>
      <c r="E26" s="3" t="s">
        <v>8</v>
      </c>
      <c r="F26" s="3" t="s">
        <v>57</v>
      </c>
      <c r="G26" s="3" t="s">
        <v>49</v>
      </c>
      <c r="H26" s="3" t="s">
        <v>50</v>
      </c>
      <c r="I26" s="8">
        <v>3</v>
      </c>
      <c r="J26" s="5">
        <v>180</v>
      </c>
      <c r="K26" s="9">
        <v>0.1</v>
      </c>
      <c r="L26" s="4">
        <v>486</v>
      </c>
      <c r="M26" s="4">
        <v>129.71</v>
      </c>
      <c r="N26" s="4">
        <v>96.87</v>
      </c>
      <c r="O26" s="3" t="s">
        <v>51</v>
      </c>
      <c r="P26" t="str">
        <f t="shared" si="0"/>
        <v>Low Sales</v>
      </c>
    </row>
    <row r="27" spans="1:16">
      <c r="A27" s="1" t="s">
        <v>93</v>
      </c>
      <c r="B27" s="2">
        <v>46077</v>
      </c>
      <c r="C27" s="3" t="s">
        <v>94</v>
      </c>
      <c r="D27" s="3" t="s">
        <v>18</v>
      </c>
      <c r="E27" s="3" t="s">
        <v>16</v>
      </c>
      <c r="F27" s="3" t="s">
        <v>57</v>
      </c>
      <c r="G27" s="3" t="s">
        <v>62</v>
      </c>
      <c r="H27" s="3" t="s">
        <v>54</v>
      </c>
      <c r="I27" s="8">
        <v>1</v>
      </c>
      <c r="J27" s="5">
        <v>520</v>
      </c>
      <c r="K27" s="9">
        <v>0.05</v>
      </c>
      <c r="L27" s="4">
        <v>494</v>
      </c>
      <c r="M27" s="4">
        <v>313.64999999999998</v>
      </c>
      <c r="N27" s="4">
        <v>180.35</v>
      </c>
      <c r="O27" s="3" t="s">
        <v>51</v>
      </c>
      <c r="P27" t="str">
        <f t="shared" si="0"/>
        <v>Low Sales</v>
      </c>
    </row>
    <row r="28" spans="1:16">
      <c r="A28" s="1" t="s">
        <v>95</v>
      </c>
      <c r="B28" s="2">
        <v>46081</v>
      </c>
      <c r="C28" s="3" t="s">
        <v>56</v>
      </c>
      <c r="D28" s="3" t="s">
        <v>9</v>
      </c>
      <c r="E28" s="3" t="s">
        <v>8</v>
      </c>
      <c r="F28" s="3" t="s">
        <v>71</v>
      </c>
      <c r="G28" s="3" t="s">
        <v>72</v>
      </c>
      <c r="H28" s="3" t="s">
        <v>54</v>
      </c>
      <c r="I28" s="8">
        <v>3</v>
      </c>
      <c r="J28" s="5">
        <v>750</v>
      </c>
      <c r="K28" s="9">
        <v>0</v>
      </c>
      <c r="L28" s="4">
        <v>2250</v>
      </c>
      <c r="M28" s="4">
        <v>596.32000000000005</v>
      </c>
      <c r="N28" s="4">
        <v>461.04</v>
      </c>
      <c r="O28" s="3" t="s">
        <v>58</v>
      </c>
      <c r="P28" t="str">
        <f t="shared" si="0"/>
        <v>High Sales</v>
      </c>
    </row>
    <row r="29" spans="1:16">
      <c r="A29" s="1" t="s">
        <v>96</v>
      </c>
      <c r="B29" s="2">
        <v>46085</v>
      </c>
      <c r="C29" s="3" t="s">
        <v>47</v>
      </c>
      <c r="D29" s="3" t="s">
        <v>10</v>
      </c>
      <c r="E29" s="3" t="s">
        <v>8</v>
      </c>
      <c r="F29" s="3" t="s">
        <v>48</v>
      </c>
      <c r="G29" s="3" t="s">
        <v>49</v>
      </c>
      <c r="H29" s="3" t="s">
        <v>50</v>
      </c>
      <c r="I29" s="8">
        <v>2</v>
      </c>
      <c r="J29" s="5">
        <v>180</v>
      </c>
      <c r="K29" s="9">
        <v>0.15</v>
      </c>
      <c r="L29" s="4">
        <v>306</v>
      </c>
      <c r="M29" s="4">
        <v>133.24</v>
      </c>
      <c r="N29" s="4">
        <v>39.520000000000003</v>
      </c>
      <c r="O29" s="3" t="s">
        <v>51</v>
      </c>
      <c r="P29" t="str">
        <f t="shared" si="0"/>
        <v>Low Sales</v>
      </c>
    </row>
    <row r="30" spans="1:16">
      <c r="A30" s="1" t="s">
        <v>97</v>
      </c>
      <c r="B30" s="2">
        <v>46085</v>
      </c>
      <c r="C30" s="3" t="s">
        <v>56</v>
      </c>
      <c r="D30" s="3" t="s">
        <v>9</v>
      </c>
      <c r="E30" s="3" t="s">
        <v>8</v>
      </c>
      <c r="F30" s="3" t="s">
        <v>61</v>
      </c>
      <c r="G30" s="3" t="s">
        <v>49</v>
      </c>
      <c r="H30" s="3" t="s">
        <v>54</v>
      </c>
      <c r="I30" s="8">
        <v>4</v>
      </c>
      <c r="J30" s="5">
        <v>750</v>
      </c>
      <c r="K30" s="9">
        <v>0</v>
      </c>
      <c r="L30" s="4">
        <v>3000</v>
      </c>
      <c r="M30" s="4">
        <v>517.52</v>
      </c>
      <c r="N30" s="4">
        <v>929.92</v>
      </c>
      <c r="O30" s="3" t="s">
        <v>51</v>
      </c>
      <c r="P30" t="str">
        <f t="shared" si="0"/>
        <v>High Sales</v>
      </c>
    </row>
    <row r="31" spans="1:16">
      <c r="A31" s="1" t="s">
        <v>98</v>
      </c>
      <c r="B31" s="2">
        <v>46088</v>
      </c>
      <c r="C31" s="3" t="s">
        <v>67</v>
      </c>
      <c r="D31" s="3" t="s">
        <v>21</v>
      </c>
      <c r="E31" s="3" t="s">
        <v>20</v>
      </c>
      <c r="F31" s="3" t="s">
        <v>57</v>
      </c>
      <c r="G31" s="3" t="s">
        <v>62</v>
      </c>
      <c r="H31" s="3" t="s">
        <v>50</v>
      </c>
      <c r="I31" s="8">
        <v>1</v>
      </c>
      <c r="J31" s="5">
        <v>60</v>
      </c>
      <c r="K31" s="9">
        <v>0.1</v>
      </c>
      <c r="L31" s="4">
        <v>54</v>
      </c>
      <c r="M31" s="4">
        <v>44.71</v>
      </c>
      <c r="N31" s="4">
        <v>9.2899999999999991</v>
      </c>
      <c r="O31" s="3" t="s">
        <v>58</v>
      </c>
      <c r="P31" t="str">
        <f t="shared" si="0"/>
        <v>Low Sales</v>
      </c>
    </row>
    <row r="32" spans="1:16">
      <c r="A32" s="1" t="s">
        <v>99</v>
      </c>
      <c r="B32" s="2">
        <v>46092</v>
      </c>
      <c r="C32" s="3" t="s">
        <v>67</v>
      </c>
      <c r="D32" s="3" t="s">
        <v>21</v>
      </c>
      <c r="E32" s="3" t="s">
        <v>20</v>
      </c>
      <c r="F32" s="3" t="s">
        <v>61</v>
      </c>
      <c r="G32" s="3" t="s">
        <v>62</v>
      </c>
      <c r="H32" s="3" t="s">
        <v>63</v>
      </c>
      <c r="I32" s="8">
        <v>6</v>
      </c>
      <c r="J32" s="5">
        <v>60</v>
      </c>
      <c r="K32" s="9">
        <v>0.05</v>
      </c>
      <c r="L32" s="4">
        <v>342</v>
      </c>
      <c r="M32" s="4">
        <v>41.56</v>
      </c>
      <c r="N32" s="4">
        <v>92.64</v>
      </c>
      <c r="O32" s="3" t="s">
        <v>65</v>
      </c>
      <c r="P32" t="str">
        <f t="shared" si="0"/>
        <v>Low Sales</v>
      </c>
    </row>
    <row r="33" spans="1:16">
      <c r="A33" s="1" t="s">
        <v>100</v>
      </c>
      <c r="B33" s="2">
        <v>46096</v>
      </c>
      <c r="C33" s="3" t="s">
        <v>47</v>
      </c>
      <c r="D33" s="3" t="s">
        <v>10</v>
      </c>
      <c r="E33" s="3" t="s">
        <v>8</v>
      </c>
      <c r="F33" s="3" t="s">
        <v>48</v>
      </c>
      <c r="G33" s="3" t="s">
        <v>53</v>
      </c>
      <c r="H33" s="3" t="s">
        <v>50</v>
      </c>
      <c r="I33" s="8">
        <v>6</v>
      </c>
      <c r="J33" s="5">
        <v>180</v>
      </c>
      <c r="K33" s="9">
        <v>0.15</v>
      </c>
      <c r="L33" s="4">
        <v>918</v>
      </c>
      <c r="M33" s="4">
        <v>113.78</v>
      </c>
      <c r="N33" s="4">
        <v>235.32</v>
      </c>
      <c r="O33" s="3" t="s">
        <v>58</v>
      </c>
      <c r="P33" t="str">
        <f t="shared" si="0"/>
        <v>Low Sales</v>
      </c>
    </row>
    <row r="34" spans="1:16">
      <c r="A34" s="1" t="s">
        <v>101</v>
      </c>
      <c r="B34" s="2">
        <v>46096</v>
      </c>
      <c r="C34" s="3" t="s">
        <v>81</v>
      </c>
      <c r="D34" s="3" t="s">
        <v>17</v>
      </c>
      <c r="E34" s="3" t="s">
        <v>16</v>
      </c>
      <c r="F34" s="3" t="s">
        <v>48</v>
      </c>
      <c r="G34" s="3" t="s">
        <v>49</v>
      </c>
      <c r="H34" s="3" t="s">
        <v>50</v>
      </c>
      <c r="I34" s="8">
        <v>7</v>
      </c>
      <c r="J34" s="5">
        <v>220</v>
      </c>
      <c r="K34" s="9">
        <v>0</v>
      </c>
      <c r="L34" s="4">
        <v>1540</v>
      </c>
      <c r="M34" s="4">
        <v>140.29</v>
      </c>
      <c r="N34" s="4">
        <v>557.97</v>
      </c>
      <c r="O34" s="3" t="s">
        <v>51</v>
      </c>
      <c r="P34" t="str">
        <f t="shared" si="0"/>
        <v>Low Sales</v>
      </c>
    </row>
    <row r="35" spans="1:16">
      <c r="A35" s="1" t="s">
        <v>102</v>
      </c>
      <c r="B35" s="2">
        <v>46097</v>
      </c>
      <c r="C35" s="3" t="s">
        <v>94</v>
      </c>
      <c r="D35" s="3" t="s">
        <v>18</v>
      </c>
      <c r="E35" s="3" t="s">
        <v>16</v>
      </c>
      <c r="F35" s="3" t="s">
        <v>61</v>
      </c>
      <c r="G35" s="3" t="s">
        <v>72</v>
      </c>
      <c r="H35" s="3" t="s">
        <v>54</v>
      </c>
      <c r="I35" s="8">
        <v>2</v>
      </c>
      <c r="J35" s="5">
        <v>520</v>
      </c>
      <c r="K35" s="9">
        <v>0.1</v>
      </c>
      <c r="L35" s="4">
        <v>936</v>
      </c>
      <c r="M35" s="4">
        <v>413.85</v>
      </c>
      <c r="N35" s="4">
        <v>108.3</v>
      </c>
      <c r="O35" s="3" t="s">
        <v>51</v>
      </c>
      <c r="P35" t="str">
        <f t="shared" si="0"/>
        <v>Low Sales</v>
      </c>
    </row>
    <row r="36" spans="1:16">
      <c r="A36" s="1" t="s">
        <v>103</v>
      </c>
      <c r="B36" s="2">
        <v>46098</v>
      </c>
      <c r="C36" s="3" t="s">
        <v>94</v>
      </c>
      <c r="D36" s="3" t="s">
        <v>18</v>
      </c>
      <c r="E36" s="3" t="s">
        <v>16</v>
      </c>
      <c r="F36" s="3" t="s">
        <v>71</v>
      </c>
      <c r="G36" s="3" t="s">
        <v>53</v>
      </c>
      <c r="H36" s="3" t="s">
        <v>54</v>
      </c>
      <c r="I36" s="8">
        <v>7</v>
      </c>
      <c r="J36" s="5">
        <v>520</v>
      </c>
      <c r="K36" s="9">
        <v>0.05</v>
      </c>
      <c r="L36" s="4">
        <v>3458</v>
      </c>
      <c r="M36" s="4">
        <v>354.94</v>
      </c>
      <c r="N36" s="4">
        <v>973.42</v>
      </c>
      <c r="O36" s="3" t="s">
        <v>51</v>
      </c>
      <c r="P36" t="str">
        <f t="shared" si="0"/>
        <v>High Sales</v>
      </c>
    </row>
    <row r="37" spans="1:16">
      <c r="A37" s="1" t="s">
        <v>104</v>
      </c>
      <c r="B37" s="2">
        <v>46101</v>
      </c>
      <c r="C37" s="3" t="s">
        <v>81</v>
      </c>
      <c r="D37" s="3" t="s">
        <v>17</v>
      </c>
      <c r="E37" s="3" t="s">
        <v>16</v>
      </c>
      <c r="F37" s="3" t="s">
        <v>57</v>
      </c>
      <c r="G37" s="3" t="s">
        <v>53</v>
      </c>
      <c r="H37" s="3" t="s">
        <v>54</v>
      </c>
      <c r="I37" s="8">
        <v>8</v>
      </c>
      <c r="J37" s="5">
        <v>220</v>
      </c>
      <c r="K37" s="9">
        <v>0.1</v>
      </c>
      <c r="L37" s="4">
        <v>1584</v>
      </c>
      <c r="M37" s="4">
        <v>135.84</v>
      </c>
      <c r="N37" s="4">
        <v>497.28</v>
      </c>
      <c r="O37" s="3" t="s">
        <v>58</v>
      </c>
      <c r="P37" t="str">
        <f t="shared" si="0"/>
        <v>Low Sales</v>
      </c>
    </row>
    <row r="38" spans="1:16">
      <c r="A38" s="1" t="s">
        <v>105</v>
      </c>
      <c r="B38" s="2">
        <v>46102</v>
      </c>
      <c r="C38" s="3" t="s">
        <v>60</v>
      </c>
      <c r="D38" s="3" t="s">
        <v>22</v>
      </c>
      <c r="E38" s="3" t="s">
        <v>20</v>
      </c>
      <c r="F38" s="3" t="s">
        <v>71</v>
      </c>
      <c r="G38" s="3" t="s">
        <v>72</v>
      </c>
      <c r="H38" s="3" t="s">
        <v>63</v>
      </c>
      <c r="I38" s="8">
        <v>6</v>
      </c>
      <c r="J38" s="5">
        <v>40</v>
      </c>
      <c r="K38" s="9">
        <v>0</v>
      </c>
      <c r="L38" s="4">
        <v>240</v>
      </c>
      <c r="M38" s="4">
        <v>29.41</v>
      </c>
      <c r="N38" s="4">
        <v>63.54</v>
      </c>
      <c r="O38" s="3" t="s">
        <v>65</v>
      </c>
      <c r="P38" t="str">
        <f t="shared" si="0"/>
        <v>Low Sales</v>
      </c>
    </row>
    <row r="39" spans="1:16">
      <c r="A39" s="1" t="s">
        <v>106</v>
      </c>
      <c r="B39" s="2">
        <v>46103</v>
      </c>
      <c r="C39" s="3" t="s">
        <v>79</v>
      </c>
      <c r="D39" s="3" t="s">
        <v>14</v>
      </c>
      <c r="E39" s="3" t="s">
        <v>12</v>
      </c>
      <c r="F39" s="3" t="s">
        <v>61</v>
      </c>
      <c r="G39" s="3" t="s">
        <v>62</v>
      </c>
      <c r="H39" s="3" t="s">
        <v>63</v>
      </c>
      <c r="I39" s="8">
        <v>4</v>
      </c>
      <c r="J39" s="5">
        <v>650</v>
      </c>
      <c r="K39" s="9">
        <v>0</v>
      </c>
      <c r="L39" s="4">
        <v>2600</v>
      </c>
      <c r="M39" s="4">
        <v>487.14</v>
      </c>
      <c r="N39" s="4">
        <v>651.44000000000005</v>
      </c>
      <c r="O39" s="3" t="s">
        <v>51</v>
      </c>
      <c r="P39" t="str">
        <f t="shared" si="0"/>
        <v>High Sales</v>
      </c>
    </row>
    <row r="40" spans="1:16">
      <c r="A40" s="1" t="s">
        <v>107</v>
      </c>
      <c r="B40" s="2">
        <v>46105</v>
      </c>
      <c r="C40" s="3" t="s">
        <v>79</v>
      </c>
      <c r="D40" s="3" t="s">
        <v>14</v>
      </c>
      <c r="E40" s="3" t="s">
        <v>12</v>
      </c>
      <c r="F40" s="3" t="s">
        <v>57</v>
      </c>
      <c r="G40" s="3" t="s">
        <v>49</v>
      </c>
      <c r="H40" s="3" t="s">
        <v>63</v>
      </c>
      <c r="I40" s="8">
        <v>6</v>
      </c>
      <c r="J40" s="5">
        <v>650</v>
      </c>
      <c r="K40" s="9">
        <v>0.05</v>
      </c>
      <c r="L40" s="4">
        <v>3705</v>
      </c>
      <c r="M40" s="4">
        <v>490.51</v>
      </c>
      <c r="N40" s="4">
        <v>761.94</v>
      </c>
      <c r="O40" s="3" t="s">
        <v>65</v>
      </c>
      <c r="P40" t="str">
        <f t="shared" si="0"/>
        <v>High Sales</v>
      </c>
    </row>
    <row r="41" spans="1:16">
      <c r="A41" s="1" t="s">
        <v>108</v>
      </c>
      <c r="B41" s="2">
        <v>46106</v>
      </c>
      <c r="C41" s="3" t="s">
        <v>94</v>
      </c>
      <c r="D41" s="3" t="s">
        <v>18</v>
      </c>
      <c r="E41" s="3" t="s">
        <v>16</v>
      </c>
      <c r="F41" s="3" t="s">
        <v>61</v>
      </c>
      <c r="G41" s="3" t="s">
        <v>68</v>
      </c>
      <c r="H41" s="3" t="s">
        <v>50</v>
      </c>
      <c r="I41" s="8">
        <v>4</v>
      </c>
      <c r="J41" s="5">
        <v>520</v>
      </c>
      <c r="K41" s="9">
        <v>0.05</v>
      </c>
      <c r="L41" s="4">
        <v>1976</v>
      </c>
      <c r="M41" s="4">
        <v>359.04</v>
      </c>
      <c r="N41" s="4">
        <v>539.84</v>
      </c>
      <c r="O41" s="3" t="s">
        <v>65</v>
      </c>
      <c r="P41" t="str">
        <f t="shared" si="0"/>
        <v>Low Sales</v>
      </c>
    </row>
    <row r="42" spans="1:16">
      <c r="A42" s="1" t="s">
        <v>109</v>
      </c>
      <c r="B42" s="2">
        <v>46106</v>
      </c>
      <c r="C42" s="3" t="s">
        <v>67</v>
      </c>
      <c r="D42" s="3" t="s">
        <v>21</v>
      </c>
      <c r="E42" s="3" t="s">
        <v>20</v>
      </c>
      <c r="F42" s="3" t="s">
        <v>71</v>
      </c>
      <c r="G42" s="3" t="s">
        <v>53</v>
      </c>
      <c r="H42" s="3" t="s">
        <v>54</v>
      </c>
      <c r="I42" s="8">
        <v>4</v>
      </c>
      <c r="J42" s="5">
        <v>60</v>
      </c>
      <c r="K42" s="9">
        <v>0.15</v>
      </c>
      <c r="L42" s="4">
        <v>204</v>
      </c>
      <c r="M42" s="4">
        <v>47.42</v>
      </c>
      <c r="N42" s="4">
        <v>14.32</v>
      </c>
      <c r="O42" s="3" t="s">
        <v>58</v>
      </c>
      <c r="P42" t="str">
        <f t="shared" si="0"/>
        <v>Low Sales</v>
      </c>
    </row>
    <row r="43" spans="1:16">
      <c r="A43" s="1" t="s">
        <v>110</v>
      </c>
      <c r="B43" s="2">
        <v>46108</v>
      </c>
      <c r="C43" s="3" t="s">
        <v>94</v>
      </c>
      <c r="D43" s="3" t="s">
        <v>18</v>
      </c>
      <c r="E43" s="3" t="s">
        <v>16</v>
      </c>
      <c r="F43" s="3" t="s">
        <v>48</v>
      </c>
      <c r="G43" s="3" t="s">
        <v>53</v>
      </c>
      <c r="H43" s="3" t="s">
        <v>54</v>
      </c>
      <c r="I43" s="8">
        <v>8</v>
      </c>
      <c r="J43" s="5">
        <v>520</v>
      </c>
      <c r="K43" s="9">
        <v>0</v>
      </c>
      <c r="L43" s="4">
        <v>4160</v>
      </c>
      <c r="M43" s="4">
        <v>377.51</v>
      </c>
      <c r="N43" s="4">
        <v>1139.92</v>
      </c>
      <c r="O43" s="3" t="s">
        <v>58</v>
      </c>
      <c r="P43" t="str">
        <f t="shared" si="0"/>
        <v>High Sales</v>
      </c>
    </row>
    <row r="44" spans="1:16">
      <c r="A44" s="1" t="s">
        <v>111</v>
      </c>
      <c r="B44" s="2">
        <v>46109</v>
      </c>
      <c r="C44" s="3" t="s">
        <v>70</v>
      </c>
      <c r="D44" s="3" t="s">
        <v>13</v>
      </c>
      <c r="E44" s="3" t="s">
        <v>12</v>
      </c>
      <c r="F44" s="3" t="s">
        <v>48</v>
      </c>
      <c r="G44" s="3" t="s">
        <v>68</v>
      </c>
      <c r="H44" s="3" t="s">
        <v>54</v>
      </c>
      <c r="I44" s="8">
        <v>4</v>
      </c>
      <c r="J44" s="5">
        <v>450</v>
      </c>
      <c r="K44" s="9">
        <v>0</v>
      </c>
      <c r="L44" s="4">
        <v>1800</v>
      </c>
      <c r="M44" s="4">
        <v>254.88</v>
      </c>
      <c r="N44" s="4">
        <v>780.48</v>
      </c>
      <c r="O44" s="3" t="s">
        <v>51</v>
      </c>
      <c r="P44" t="str">
        <f t="shared" si="0"/>
        <v>Low Sales</v>
      </c>
    </row>
    <row r="45" spans="1:16">
      <c r="A45" s="1" t="s">
        <v>112</v>
      </c>
      <c r="B45" s="2">
        <v>46109</v>
      </c>
      <c r="C45" s="3" t="s">
        <v>56</v>
      </c>
      <c r="D45" s="3" t="s">
        <v>9</v>
      </c>
      <c r="E45" s="3" t="s">
        <v>8</v>
      </c>
      <c r="F45" s="3" t="s">
        <v>48</v>
      </c>
      <c r="G45" s="3" t="s">
        <v>72</v>
      </c>
      <c r="H45" s="3" t="s">
        <v>63</v>
      </c>
      <c r="I45" s="8">
        <v>3</v>
      </c>
      <c r="J45" s="5">
        <v>750</v>
      </c>
      <c r="K45" s="9">
        <v>0.1</v>
      </c>
      <c r="L45" s="4">
        <v>2025</v>
      </c>
      <c r="M45" s="4">
        <v>526.37</v>
      </c>
      <c r="N45" s="4">
        <v>445.89</v>
      </c>
      <c r="O45" s="3" t="s">
        <v>58</v>
      </c>
      <c r="P45" t="str">
        <f t="shared" si="0"/>
        <v>High Sales</v>
      </c>
    </row>
    <row r="46" spans="1:16">
      <c r="A46" s="1" t="s">
        <v>113</v>
      </c>
      <c r="B46" s="2">
        <v>46110</v>
      </c>
      <c r="C46" s="3" t="s">
        <v>81</v>
      </c>
      <c r="D46" s="3" t="s">
        <v>17</v>
      </c>
      <c r="E46" s="3" t="s">
        <v>16</v>
      </c>
      <c r="F46" s="3" t="s">
        <v>48</v>
      </c>
      <c r="G46" s="3" t="s">
        <v>68</v>
      </c>
      <c r="H46" s="3" t="s">
        <v>50</v>
      </c>
      <c r="I46" s="8">
        <v>2</v>
      </c>
      <c r="J46" s="5">
        <v>220</v>
      </c>
      <c r="K46" s="9">
        <v>0.15</v>
      </c>
      <c r="L46" s="4">
        <v>374</v>
      </c>
      <c r="M46" s="4">
        <v>125.2</v>
      </c>
      <c r="N46" s="4">
        <v>123.6</v>
      </c>
      <c r="O46" s="3" t="s">
        <v>65</v>
      </c>
      <c r="P46" t="str">
        <f t="shared" si="0"/>
        <v>Low Sales</v>
      </c>
    </row>
    <row r="47" spans="1:16">
      <c r="A47" s="1" t="s">
        <v>114</v>
      </c>
      <c r="B47" s="2">
        <v>46115</v>
      </c>
      <c r="C47" s="3" t="s">
        <v>56</v>
      </c>
      <c r="D47" s="3" t="s">
        <v>9</v>
      </c>
      <c r="E47" s="3" t="s">
        <v>8</v>
      </c>
      <c r="F47" s="3" t="s">
        <v>57</v>
      </c>
      <c r="G47" s="3" t="s">
        <v>53</v>
      </c>
      <c r="H47" s="3" t="s">
        <v>54</v>
      </c>
      <c r="I47" s="8">
        <v>6</v>
      </c>
      <c r="J47" s="5">
        <v>750</v>
      </c>
      <c r="K47" s="9">
        <v>0</v>
      </c>
      <c r="L47" s="4">
        <v>4500</v>
      </c>
      <c r="M47" s="4">
        <v>538.05999999999995</v>
      </c>
      <c r="N47" s="4">
        <v>1271.6400000000001</v>
      </c>
      <c r="O47" s="3" t="s">
        <v>58</v>
      </c>
      <c r="P47" t="str">
        <f t="shared" si="0"/>
        <v>High Sales</v>
      </c>
    </row>
    <row r="48" spans="1:16">
      <c r="A48" s="1" t="s">
        <v>115</v>
      </c>
      <c r="B48" s="2">
        <v>46118</v>
      </c>
      <c r="C48" s="3" t="s">
        <v>67</v>
      </c>
      <c r="D48" s="3" t="s">
        <v>21</v>
      </c>
      <c r="E48" s="3" t="s">
        <v>20</v>
      </c>
      <c r="F48" s="3" t="s">
        <v>48</v>
      </c>
      <c r="G48" s="3" t="s">
        <v>53</v>
      </c>
      <c r="H48" s="3" t="s">
        <v>54</v>
      </c>
      <c r="I48" s="8">
        <v>2</v>
      </c>
      <c r="J48" s="5">
        <v>60</v>
      </c>
      <c r="K48" s="9">
        <v>0</v>
      </c>
      <c r="L48" s="4">
        <v>120</v>
      </c>
      <c r="M48" s="4">
        <v>40.68</v>
      </c>
      <c r="N48" s="4">
        <v>38.64</v>
      </c>
      <c r="O48" s="3" t="s">
        <v>65</v>
      </c>
      <c r="P48" t="str">
        <f t="shared" si="0"/>
        <v>Low Sales</v>
      </c>
    </row>
    <row r="49" spans="1:16">
      <c r="A49" s="1" t="s">
        <v>116</v>
      </c>
      <c r="B49" s="2">
        <v>46118</v>
      </c>
      <c r="C49" s="3" t="s">
        <v>81</v>
      </c>
      <c r="D49" s="3" t="s">
        <v>17</v>
      </c>
      <c r="E49" s="3" t="s">
        <v>16</v>
      </c>
      <c r="F49" s="3" t="s">
        <v>61</v>
      </c>
      <c r="G49" s="3" t="s">
        <v>72</v>
      </c>
      <c r="H49" s="3" t="s">
        <v>54</v>
      </c>
      <c r="I49" s="8">
        <v>8</v>
      </c>
      <c r="J49" s="5">
        <v>220</v>
      </c>
      <c r="K49" s="9">
        <v>0.05</v>
      </c>
      <c r="L49" s="4">
        <v>1672</v>
      </c>
      <c r="M49" s="4">
        <v>160.56</v>
      </c>
      <c r="N49" s="4">
        <v>387.52</v>
      </c>
      <c r="O49" s="3" t="s">
        <v>65</v>
      </c>
      <c r="P49" t="str">
        <f t="shared" si="0"/>
        <v>Low Sales</v>
      </c>
    </row>
    <row r="50" spans="1:16">
      <c r="A50" s="1" t="s">
        <v>117</v>
      </c>
      <c r="B50" s="2">
        <v>46118</v>
      </c>
      <c r="C50" s="3" t="s">
        <v>81</v>
      </c>
      <c r="D50" s="3" t="s">
        <v>17</v>
      </c>
      <c r="E50" s="3" t="s">
        <v>16</v>
      </c>
      <c r="F50" s="3" t="s">
        <v>48</v>
      </c>
      <c r="G50" s="3" t="s">
        <v>53</v>
      </c>
      <c r="H50" s="3" t="s">
        <v>63</v>
      </c>
      <c r="I50" s="8">
        <v>8</v>
      </c>
      <c r="J50" s="5">
        <v>220</v>
      </c>
      <c r="K50" s="9">
        <v>0.1</v>
      </c>
      <c r="L50" s="4">
        <v>1584</v>
      </c>
      <c r="M50" s="4">
        <v>152.11000000000001</v>
      </c>
      <c r="N50" s="4">
        <v>367.12</v>
      </c>
      <c r="O50" s="3" t="s">
        <v>51</v>
      </c>
      <c r="P50" t="str">
        <f t="shared" si="0"/>
        <v>Low Sales</v>
      </c>
    </row>
    <row r="51" spans="1:16">
      <c r="A51" s="1" t="s">
        <v>118</v>
      </c>
      <c r="B51" s="2">
        <v>46118</v>
      </c>
      <c r="C51" s="3" t="s">
        <v>70</v>
      </c>
      <c r="D51" s="3" t="s">
        <v>13</v>
      </c>
      <c r="E51" s="3" t="s">
        <v>12</v>
      </c>
      <c r="F51" s="3" t="s">
        <v>71</v>
      </c>
      <c r="G51" s="3" t="s">
        <v>68</v>
      </c>
      <c r="H51" s="3" t="s">
        <v>50</v>
      </c>
      <c r="I51" s="8">
        <v>6</v>
      </c>
      <c r="J51" s="5">
        <v>450</v>
      </c>
      <c r="K51" s="9">
        <v>0.15</v>
      </c>
      <c r="L51" s="4">
        <v>2295</v>
      </c>
      <c r="M51" s="4">
        <v>334.17</v>
      </c>
      <c r="N51" s="4">
        <v>289.98</v>
      </c>
      <c r="O51" s="3" t="s">
        <v>51</v>
      </c>
      <c r="P51" t="str">
        <f t="shared" si="0"/>
        <v>High Sales</v>
      </c>
    </row>
    <row r="52" spans="1:16">
      <c r="A52" s="1" t="s">
        <v>119</v>
      </c>
      <c r="B52" s="2">
        <v>46119</v>
      </c>
      <c r="C52" s="3" t="s">
        <v>60</v>
      </c>
      <c r="D52" s="3" t="s">
        <v>22</v>
      </c>
      <c r="E52" s="3" t="s">
        <v>20</v>
      </c>
      <c r="F52" s="3" t="s">
        <v>61</v>
      </c>
      <c r="G52" s="3" t="s">
        <v>62</v>
      </c>
      <c r="H52" s="3" t="s">
        <v>50</v>
      </c>
      <c r="I52" s="8">
        <v>2</v>
      </c>
      <c r="J52" s="5">
        <v>40</v>
      </c>
      <c r="K52" s="9">
        <v>0.15</v>
      </c>
      <c r="L52" s="4">
        <v>68</v>
      </c>
      <c r="M52" s="4">
        <v>23.52</v>
      </c>
      <c r="N52" s="4">
        <v>20.96</v>
      </c>
      <c r="O52" s="3" t="s">
        <v>58</v>
      </c>
      <c r="P52" t="str">
        <f t="shared" si="0"/>
        <v>Low Sales</v>
      </c>
    </row>
    <row r="53" spans="1:16">
      <c r="A53" s="1" t="s">
        <v>120</v>
      </c>
      <c r="B53" s="2">
        <v>46123</v>
      </c>
      <c r="C53" s="3" t="s">
        <v>70</v>
      </c>
      <c r="D53" s="3" t="s">
        <v>13</v>
      </c>
      <c r="E53" s="3" t="s">
        <v>12</v>
      </c>
      <c r="F53" s="3" t="s">
        <v>57</v>
      </c>
      <c r="G53" s="3" t="s">
        <v>68</v>
      </c>
      <c r="H53" s="3" t="s">
        <v>54</v>
      </c>
      <c r="I53" s="8">
        <v>7</v>
      </c>
      <c r="J53" s="5">
        <v>450</v>
      </c>
      <c r="K53" s="9">
        <v>0.15</v>
      </c>
      <c r="L53" s="4">
        <v>2677.5</v>
      </c>
      <c r="M53" s="4">
        <v>347.83</v>
      </c>
      <c r="N53" s="4">
        <v>242.69</v>
      </c>
      <c r="O53" s="3" t="s">
        <v>65</v>
      </c>
      <c r="P53" t="str">
        <f t="shared" si="0"/>
        <v>High Sales</v>
      </c>
    </row>
    <row r="54" spans="1:16">
      <c r="A54" s="1" t="s">
        <v>121</v>
      </c>
      <c r="B54" s="2">
        <v>46126</v>
      </c>
      <c r="C54" s="3" t="s">
        <v>56</v>
      </c>
      <c r="D54" s="3" t="s">
        <v>9</v>
      </c>
      <c r="E54" s="3" t="s">
        <v>8</v>
      </c>
      <c r="F54" s="3" t="s">
        <v>57</v>
      </c>
      <c r="G54" s="3" t="s">
        <v>68</v>
      </c>
      <c r="H54" s="3" t="s">
        <v>63</v>
      </c>
      <c r="I54" s="8">
        <v>2</v>
      </c>
      <c r="J54" s="5">
        <v>750</v>
      </c>
      <c r="K54" s="9">
        <v>0.1</v>
      </c>
      <c r="L54" s="4">
        <v>1350</v>
      </c>
      <c r="M54" s="4">
        <v>479.1</v>
      </c>
      <c r="N54" s="4">
        <v>391.8</v>
      </c>
      <c r="O54" s="3" t="s">
        <v>51</v>
      </c>
      <c r="P54" t="str">
        <f t="shared" si="0"/>
        <v>Low Sales</v>
      </c>
    </row>
    <row r="55" spans="1:16">
      <c r="A55" s="1" t="s">
        <v>122</v>
      </c>
      <c r="B55" s="2">
        <v>46126</v>
      </c>
      <c r="C55" s="3" t="s">
        <v>56</v>
      </c>
      <c r="D55" s="3" t="s">
        <v>9</v>
      </c>
      <c r="E55" s="3" t="s">
        <v>8</v>
      </c>
      <c r="F55" s="3" t="s">
        <v>61</v>
      </c>
      <c r="G55" s="3" t="s">
        <v>53</v>
      </c>
      <c r="H55" s="3" t="s">
        <v>63</v>
      </c>
      <c r="I55" s="8">
        <v>8</v>
      </c>
      <c r="J55" s="5">
        <v>750</v>
      </c>
      <c r="K55" s="9">
        <v>0.05</v>
      </c>
      <c r="L55" s="4">
        <v>5700</v>
      </c>
      <c r="M55" s="4">
        <v>589.07000000000005</v>
      </c>
      <c r="N55" s="4">
        <v>987.44</v>
      </c>
      <c r="O55" s="3" t="s">
        <v>51</v>
      </c>
      <c r="P55" t="str">
        <f t="shared" si="0"/>
        <v>High Sales</v>
      </c>
    </row>
    <row r="56" spans="1:16">
      <c r="A56" s="1" t="s">
        <v>123</v>
      </c>
      <c r="B56" s="2">
        <v>46131</v>
      </c>
      <c r="C56" s="3" t="s">
        <v>67</v>
      </c>
      <c r="D56" s="3" t="s">
        <v>21</v>
      </c>
      <c r="E56" s="3" t="s">
        <v>20</v>
      </c>
      <c r="F56" s="3" t="s">
        <v>48</v>
      </c>
      <c r="G56" s="3" t="s">
        <v>72</v>
      </c>
      <c r="H56" s="3" t="s">
        <v>63</v>
      </c>
      <c r="I56" s="8">
        <v>5</v>
      </c>
      <c r="J56" s="5">
        <v>60</v>
      </c>
      <c r="K56" s="9">
        <v>0.1</v>
      </c>
      <c r="L56" s="4">
        <v>270</v>
      </c>
      <c r="M56" s="4">
        <v>44.91</v>
      </c>
      <c r="N56" s="4">
        <v>45.45</v>
      </c>
      <c r="O56" s="3" t="s">
        <v>51</v>
      </c>
      <c r="P56" t="str">
        <f t="shared" si="0"/>
        <v>Low Sales</v>
      </c>
    </row>
    <row r="57" spans="1:16">
      <c r="A57" s="1" t="s">
        <v>124</v>
      </c>
      <c r="B57" s="2">
        <v>46132</v>
      </c>
      <c r="C57" s="3" t="s">
        <v>67</v>
      </c>
      <c r="D57" s="3" t="s">
        <v>21</v>
      </c>
      <c r="E57" s="3" t="s">
        <v>20</v>
      </c>
      <c r="F57" s="3" t="s">
        <v>71</v>
      </c>
      <c r="G57" s="3" t="s">
        <v>72</v>
      </c>
      <c r="H57" s="3" t="s">
        <v>63</v>
      </c>
      <c r="I57" s="8">
        <v>3</v>
      </c>
      <c r="J57" s="5">
        <v>60</v>
      </c>
      <c r="K57" s="9">
        <v>0.1</v>
      </c>
      <c r="L57" s="4">
        <v>162</v>
      </c>
      <c r="M57" s="4">
        <v>40.57</v>
      </c>
      <c r="N57" s="4">
        <v>40.29</v>
      </c>
      <c r="O57" s="3" t="s">
        <v>65</v>
      </c>
      <c r="P57" t="str">
        <f t="shared" si="0"/>
        <v>Low Sales</v>
      </c>
    </row>
    <row r="58" spans="1:16">
      <c r="A58" s="1" t="s">
        <v>125</v>
      </c>
      <c r="B58" s="2">
        <v>46132</v>
      </c>
      <c r="C58" s="3" t="s">
        <v>47</v>
      </c>
      <c r="D58" s="3" t="s">
        <v>10</v>
      </c>
      <c r="E58" s="3" t="s">
        <v>8</v>
      </c>
      <c r="F58" s="3" t="s">
        <v>57</v>
      </c>
      <c r="G58" s="3" t="s">
        <v>72</v>
      </c>
      <c r="H58" s="3" t="s">
        <v>50</v>
      </c>
      <c r="I58" s="8">
        <v>1</v>
      </c>
      <c r="J58" s="5">
        <v>180</v>
      </c>
      <c r="K58" s="9">
        <v>0.05</v>
      </c>
      <c r="L58" s="4">
        <v>171</v>
      </c>
      <c r="M58" s="4">
        <v>106.44</v>
      </c>
      <c r="N58" s="4">
        <v>64.56</v>
      </c>
      <c r="O58" s="3" t="s">
        <v>51</v>
      </c>
      <c r="P58" t="str">
        <f t="shared" si="0"/>
        <v>Low Sales</v>
      </c>
    </row>
    <row r="59" spans="1:16">
      <c r="A59" s="1" t="s">
        <v>126</v>
      </c>
      <c r="B59" s="2">
        <v>46134</v>
      </c>
      <c r="C59" s="3" t="s">
        <v>47</v>
      </c>
      <c r="D59" s="3" t="s">
        <v>10</v>
      </c>
      <c r="E59" s="3" t="s">
        <v>8</v>
      </c>
      <c r="F59" s="3" t="s">
        <v>57</v>
      </c>
      <c r="G59" s="3" t="s">
        <v>62</v>
      </c>
      <c r="H59" s="3" t="s">
        <v>54</v>
      </c>
      <c r="I59" s="8">
        <v>8</v>
      </c>
      <c r="J59" s="5">
        <v>180</v>
      </c>
      <c r="K59" s="9">
        <v>0.15</v>
      </c>
      <c r="L59" s="4">
        <v>1224</v>
      </c>
      <c r="M59" s="4">
        <v>100.45</v>
      </c>
      <c r="N59" s="4">
        <v>420.4</v>
      </c>
      <c r="O59" s="3" t="s">
        <v>51</v>
      </c>
      <c r="P59" t="str">
        <f t="shared" si="0"/>
        <v>Low Sales</v>
      </c>
    </row>
    <row r="60" spans="1:16">
      <c r="A60" s="1" t="s">
        <v>127</v>
      </c>
      <c r="B60" s="2">
        <v>46136</v>
      </c>
      <c r="C60" s="3" t="s">
        <v>94</v>
      </c>
      <c r="D60" s="3" t="s">
        <v>18</v>
      </c>
      <c r="E60" s="3" t="s">
        <v>16</v>
      </c>
      <c r="F60" s="3" t="s">
        <v>48</v>
      </c>
      <c r="G60" s="3" t="s">
        <v>62</v>
      </c>
      <c r="H60" s="3" t="s">
        <v>63</v>
      </c>
      <c r="I60" s="8">
        <v>6</v>
      </c>
      <c r="J60" s="5">
        <v>520</v>
      </c>
      <c r="K60" s="9">
        <v>0.15</v>
      </c>
      <c r="L60" s="4">
        <v>2652</v>
      </c>
      <c r="M60" s="4">
        <v>391.62</v>
      </c>
      <c r="N60" s="4">
        <v>302.27999999999997</v>
      </c>
      <c r="O60" s="3" t="s">
        <v>58</v>
      </c>
      <c r="P60" t="str">
        <f t="shared" si="0"/>
        <v>High Sales</v>
      </c>
    </row>
    <row r="61" spans="1:16">
      <c r="A61" s="1" t="s">
        <v>128</v>
      </c>
      <c r="B61" s="2">
        <v>46138</v>
      </c>
      <c r="C61" s="3" t="s">
        <v>60</v>
      </c>
      <c r="D61" s="3" t="s">
        <v>22</v>
      </c>
      <c r="E61" s="3" t="s">
        <v>20</v>
      </c>
      <c r="F61" s="3" t="s">
        <v>61</v>
      </c>
      <c r="G61" s="3" t="s">
        <v>72</v>
      </c>
      <c r="H61" s="3" t="s">
        <v>54</v>
      </c>
      <c r="I61" s="8">
        <v>1</v>
      </c>
      <c r="J61" s="5">
        <v>40</v>
      </c>
      <c r="K61" s="9">
        <v>0.1</v>
      </c>
      <c r="L61" s="4">
        <v>36</v>
      </c>
      <c r="M61" s="4">
        <v>26.8</v>
      </c>
      <c r="N61" s="4">
        <v>9.1999999999999993</v>
      </c>
      <c r="O61" s="3" t="s">
        <v>51</v>
      </c>
      <c r="P61" t="str">
        <f t="shared" si="0"/>
        <v>Low Sales</v>
      </c>
    </row>
    <row r="62" spans="1:16">
      <c r="A62" s="1" t="s">
        <v>129</v>
      </c>
      <c r="B62" s="2">
        <v>46142</v>
      </c>
      <c r="C62" s="3" t="s">
        <v>67</v>
      </c>
      <c r="D62" s="3" t="s">
        <v>21</v>
      </c>
      <c r="E62" s="3" t="s">
        <v>20</v>
      </c>
      <c r="F62" s="3" t="s">
        <v>71</v>
      </c>
      <c r="G62" s="3" t="s">
        <v>53</v>
      </c>
      <c r="H62" s="3" t="s">
        <v>50</v>
      </c>
      <c r="I62" s="8">
        <v>5</v>
      </c>
      <c r="J62" s="5">
        <v>60</v>
      </c>
      <c r="K62" s="9">
        <v>0.05</v>
      </c>
      <c r="L62" s="4">
        <v>285</v>
      </c>
      <c r="M62" s="4">
        <v>45.96</v>
      </c>
      <c r="N62" s="4">
        <v>55.2</v>
      </c>
      <c r="O62" s="3" t="s">
        <v>51</v>
      </c>
      <c r="P62" t="str">
        <f t="shared" si="0"/>
        <v>Low Sales</v>
      </c>
    </row>
    <row r="63" spans="1:16">
      <c r="A63" s="1" t="s">
        <v>130</v>
      </c>
      <c r="B63" s="2">
        <v>46151</v>
      </c>
      <c r="C63" s="3" t="s">
        <v>56</v>
      </c>
      <c r="D63" s="3" t="s">
        <v>9</v>
      </c>
      <c r="E63" s="3" t="s">
        <v>8</v>
      </c>
      <c r="F63" s="3" t="s">
        <v>57</v>
      </c>
      <c r="G63" s="3" t="s">
        <v>62</v>
      </c>
      <c r="H63" s="3" t="s">
        <v>54</v>
      </c>
      <c r="I63" s="8">
        <v>1</v>
      </c>
      <c r="J63" s="5">
        <v>750</v>
      </c>
      <c r="K63" s="9">
        <v>0.1</v>
      </c>
      <c r="L63" s="4">
        <v>675</v>
      </c>
      <c r="M63" s="4">
        <v>482.64</v>
      </c>
      <c r="N63" s="4">
        <v>192.36</v>
      </c>
      <c r="O63" s="3" t="s">
        <v>58</v>
      </c>
      <c r="P63" t="str">
        <f t="shared" si="0"/>
        <v>Low Sales</v>
      </c>
    </row>
    <row r="64" spans="1:16">
      <c r="A64" s="1" t="s">
        <v>131</v>
      </c>
      <c r="B64" s="2">
        <v>46155</v>
      </c>
      <c r="C64" s="3" t="s">
        <v>56</v>
      </c>
      <c r="D64" s="3" t="s">
        <v>9</v>
      </c>
      <c r="E64" s="3" t="s">
        <v>8</v>
      </c>
      <c r="F64" s="3" t="s">
        <v>71</v>
      </c>
      <c r="G64" s="3" t="s">
        <v>62</v>
      </c>
      <c r="H64" s="3" t="s">
        <v>54</v>
      </c>
      <c r="I64" s="8">
        <v>1</v>
      </c>
      <c r="J64" s="5">
        <v>750</v>
      </c>
      <c r="K64" s="9">
        <v>0</v>
      </c>
      <c r="L64" s="4">
        <v>750</v>
      </c>
      <c r="M64" s="4">
        <v>493.6</v>
      </c>
      <c r="N64" s="4">
        <v>256.39999999999998</v>
      </c>
      <c r="O64" s="3" t="s">
        <v>65</v>
      </c>
      <c r="P64" t="str">
        <f t="shared" si="0"/>
        <v>Low Sales</v>
      </c>
    </row>
    <row r="65" spans="1:16">
      <c r="A65" s="1" t="s">
        <v>132</v>
      </c>
      <c r="B65" s="2">
        <v>46155</v>
      </c>
      <c r="C65" s="3" t="s">
        <v>67</v>
      </c>
      <c r="D65" s="3" t="s">
        <v>21</v>
      </c>
      <c r="E65" s="3" t="s">
        <v>20</v>
      </c>
      <c r="F65" s="3" t="s">
        <v>71</v>
      </c>
      <c r="G65" s="3" t="s">
        <v>68</v>
      </c>
      <c r="H65" s="3" t="s">
        <v>63</v>
      </c>
      <c r="I65" s="8">
        <v>5</v>
      </c>
      <c r="J65" s="5">
        <v>60</v>
      </c>
      <c r="K65" s="9">
        <v>0</v>
      </c>
      <c r="L65" s="4">
        <v>300</v>
      </c>
      <c r="M65" s="4">
        <v>42.88</v>
      </c>
      <c r="N65" s="4">
        <v>85.6</v>
      </c>
      <c r="O65" s="3" t="s">
        <v>51</v>
      </c>
      <c r="P65" t="str">
        <f t="shared" si="0"/>
        <v>Low Sales</v>
      </c>
    </row>
    <row r="66" spans="1:16">
      <c r="A66" s="1" t="s">
        <v>133</v>
      </c>
      <c r="B66" s="2">
        <v>46157</v>
      </c>
      <c r="C66" s="3" t="s">
        <v>60</v>
      </c>
      <c r="D66" s="3" t="s">
        <v>22</v>
      </c>
      <c r="E66" s="3" t="s">
        <v>20</v>
      </c>
      <c r="F66" s="3" t="s">
        <v>57</v>
      </c>
      <c r="G66" s="3" t="s">
        <v>49</v>
      </c>
      <c r="H66" s="3" t="s">
        <v>50</v>
      </c>
      <c r="I66" s="8">
        <v>5</v>
      </c>
      <c r="J66" s="5">
        <v>40</v>
      </c>
      <c r="K66" s="9">
        <v>0</v>
      </c>
      <c r="L66" s="4">
        <v>200</v>
      </c>
      <c r="M66" s="4">
        <v>29.44</v>
      </c>
      <c r="N66" s="4">
        <v>52.8</v>
      </c>
      <c r="O66" s="3" t="s">
        <v>51</v>
      </c>
      <c r="P66" t="str">
        <f t="shared" si="0"/>
        <v>Low Sales</v>
      </c>
    </row>
    <row r="67" spans="1:16">
      <c r="A67" s="1" t="s">
        <v>134</v>
      </c>
      <c r="B67" s="2">
        <v>46158</v>
      </c>
      <c r="C67" s="3" t="s">
        <v>47</v>
      </c>
      <c r="D67" s="3" t="s">
        <v>10</v>
      </c>
      <c r="E67" s="3" t="s">
        <v>8</v>
      </c>
      <c r="F67" s="3" t="s">
        <v>48</v>
      </c>
      <c r="G67" s="3" t="s">
        <v>68</v>
      </c>
      <c r="H67" s="3" t="s">
        <v>50</v>
      </c>
      <c r="I67" s="8">
        <v>3</v>
      </c>
      <c r="J67" s="5">
        <v>180</v>
      </c>
      <c r="K67" s="9">
        <v>0</v>
      </c>
      <c r="L67" s="4">
        <v>540</v>
      </c>
      <c r="M67" s="4">
        <v>122.02</v>
      </c>
      <c r="N67" s="4">
        <v>173.94</v>
      </c>
      <c r="O67" s="3" t="s">
        <v>58</v>
      </c>
      <c r="P67" t="str">
        <f t="shared" ref="P67:P130" si="1">IF(L67&gt;=2000,"High Sales","Low Sales")</f>
        <v>Low Sales</v>
      </c>
    </row>
    <row r="68" spans="1:16">
      <c r="A68" s="1" t="s">
        <v>135</v>
      </c>
      <c r="B68" s="2">
        <v>46158</v>
      </c>
      <c r="C68" s="3" t="s">
        <v>81</v>
      </c>
      <c r="D68" s="3" t="s">
        <v>17</v>
      </c>
      <c r="E68" s="3" t="s">
        <v>16</v>
      </c>
      <c r="F68" s="3" t="s">
        <v>48</v>
      </c>
      <c r="G68" s="3" t="s">
        <v>62</v>
      </c>
      <c r="H68" s="3" t="s">
        <v>50</v>
      </c>
      <c r="I68" s="8">
        <v>7</v>
      </c>
      <c r="J68" s="5">
        <v>220</v>
      </c>
      <c r="K68" s="9">
        <v>0.05</v>
      </c>
      <c r="L68" s="4">
        <v>1463</v>
      </c>
      <c r="M68" s="4">
        <v>132.19999999999999</v>
      </c>
      <c r="N68" s="4">
        <v>537.6</v>
      </c>
      <c r="O68" s="3" t="s">
        <v>51</v>
      </c>
      <c r="P68" t="str">
        <f t="shared" si="1"/>
        <v>Low Sales</v>
      </c>
    </row>
    <row r="69" spans="1:16">
      <c r="A69" s="1" t="s">
        <v>136</v>
      </c>
      <c r="B69" s="2">
        <v>46162</v>
      </c>
      <c r="C69" s="3" t="s">
        <v>79</v>
      </c>
      <c r="D69" s="3" t="s">
        <v>14</v>
      </c>
      <c r="E69" s="3" t="s">
        <v>12</v>
      </c>
      <c r="F69" s="3" t="s">
        <v>61</v>
      </c>
      <c r="G69" s="3" t="s">
        <v>72</v>
      </c>
      <c r="H69" s="3" t="s">
        <v>50</v>
      </c>
      <c r="I69" s="8">
        <v>7</v>
      </c>
      <c r="J69" s="5">
        <v>650</v>
      </c>
      <c r="K69" s="9">
        <v>0.15</v>
      </c>
      <c r="L69" s="4">
        <v>3867.5</v>
      </c>
      <c r="M69" s="4">
        <v>371.16</v>
      </c>
      <c r="N69" s="4">
        <v>1269.3800000000001</v>
      </c>
      <c r="O69" s="3" t="s">
        <v>58</v>
      </c>
      <c r="P69" t="str">
        <f t="shared" si="1"/>
        <v>High Sales</v>
      </c>
    </row>
    <row r="70" spans="1:16">
      <c r="A70" s="1" t="s">
        <v>137</v>
      </c>
      <c r="B70" s="2">
        <v>46166</v>
      </c>
      <c r="C70" s="3" t="s">
        <v>70</v>
      </c>
      <c r="D70" s="3" t="s">
        <v>13</v>
      </c>
      <c r="E70" s="3" t="s">
        <v>12</v>
      </c>
      <c r="F70" s="3" t="s">
        <v>57</v>
      </c>
      <c r="G70" s="3" t="s">
        <v>53</v>
      </c>
      <c r="H70" s="3" t="s">
        <v>50</v>
      </c>
      <c r="I70" s="8">
        <v>4</v>
      </c>
      <c r="J70" s="5">
        <v>450</v>
      </c>
      <c r="K70" s="9">
        <v>0.15</v>
      </c>
      <c r="L70" s="4">
        <v>1530</v>
      </c>
      <c r="M70" s="4">
        <v>334.28</v>
      </c>
      <c r="N70" s="4">
        <v>192.88</v>
      </c>
      <c r="O70" s="3" t="s">
        <v>58</v>
      </c>
      <c r="P70" t="str">
        <f t="shared" si="1"/>
        <v>Low Sales</v>
      </c>
    </row>
    <row r="71" spans="1:16">
      <c r="A71" s="1" t="s">
        <v>138</v>
      </c>
      <c r="B71" s="2">
        <v>46167</v>
      </c>
      <c r="C71" s="3" t="s">
        <v>94</v>
      </c>
      <c r="D71" s="3" t="s">
        <v>18</v>
      </c>
      <c r="E71" s="3" t="s">
        <v>16</v>
      </c>
      <c r="F71" s="3" t="s">
        <v>71</v>
      </c>
      <c r="G71" s="3" t="s">
        <v>68</v>
      </c>
      <c r="H71" s="3" t="s">
        <v>63</v>
      </c>
      <c r="I71" s="8">
        <v>8</v>
      </c>
      <c r="J71" s="5">
        <v>520</v>
      </c>
      <c r="K71" s="9">
        <v>0.15</v>
      </c>
      <c r="L71" s="4">
        <v>3536</v>
      </c>
      <c r="M71" s="4">
        <v>400.93</v>
      </c>
      <c r="N71" s="4">
        <v>328.56</v>
      </c>
      <c r="O71" s="3" t="s">
        <v>58</v>
      </c>
      <c r="P71" t="str">
        <f t="shared" si="1"/>
        <v>High Sales</v>
      </c>
    </row>
    <row r="72" spans="1:16">
      <c r="A72" s="1" t="s">
        <v>139</v>
      </c>
      <c r="B72" s="2">
        <v>46167</v>
      </c>
      <c r="C72" s="3" t="s">
        <v>56</v>
      </c>
      <c r="D72" s="3" t="s">
        <v>9</v>
      </c>
      <c r="E72" s="3" t="s">
        <v>8</v>
      </c>
      <c r="F72" s="3" t="s">
        <v>57</v>
      </c>
      <c r="G72" s="3" t="s">
        <v>72</v>
      </c>
      <c r="H72" s="3" t="s">
        <v>50</v>
      </c>
      <c r="I72" s="8">
        <v>2</v>
      </c>
      <c r="J72" s="5">
        <v>750</v>
      </c>
      <c r="K72" s="9">
        <v>0.15</v>
      </c>
      <c r="L72" s="4">
        <v>1275</v>
      </c>
      <c r="M72" s="4">
        <v>569.85</v>
      </c>
      <c r="N72" s="4">
        <v>135.30000000000001</v>
      </c>
      <c r="O72" s="3" t="s">
        <v>51</v>
      </c>
      <c r="P72" t="str">
        <f t="shared" si="1"/>
        <v>Low Sales</v>
      </c>
    </row>
    <row r="73" spans="1:16">
      <c r="A73" s="1" t="s">
        <v>140</v>
      </c>
      <c r="B73" s="2">
        <v>46167</v>
      </c>
      <c r="C73" s="3" t="s">
        <v>47</v>
      </c>
      <c r="D73" s="3" t="s">
        <v>10</v>
      </c>
      <c r="E73" s="3" t="s">
        <v>8</v>
      </c>
      <c r="F73" s="3" t="s">
        <v>48</v>
      </c>
      <c r="G73" s="3" t="s">
        <v>68</v>
      </c>
      <c r="H73" s="3" t="s">
        <v>50</v>
      </c>
      <c r="I73" s="8">
        <v>7</v>
      </c>
      <c r="J73" s="5">
        <v>180</v>
      </c>
      <c r="K73" s="9">
        <v>0.15</v>
      </c>
      <c r="L73" s="4">
        <v>1071</v>
      </c>
      <c r="M73" s="4">
        <v>120.56</v>
      </c>
      <c r="N73" s="4">
        <v>227.08</v>
      </c>
      <c r="O73" s="3" t="s">
        <v>51</v>
      </c>
      <c r="P73" t="str">
        <f t="shared" si="1"/>
        <v>Low Sales</v>
      </c>
    </row>
    <row r="74" spans="1:16">
      <c r="A74" s="1" t="s">
        <v>141</v>
      </c>
      <c r="B74" s="2">
        <v>46167</v>
      </c>
      <c r="C74" s="3" t="s">
        <v>47</v>
      </c>
      <c r="D74" s="3" t="s">
        <v>10</v>
      </c>
      <c r="E74" s="3" t="s">
        <v>8</v>
      </c>
      <c r="F74" s="3" t="s">
        <v>57</v>
      </c>
      <c r="G74" s="3" t="s">
        <v>68</v>
      </c>
      <c r="H74" s="3" t="s">
        <v>54</v>
      </c>
      <c r="I74" s="8">
        <v>2</v>
      </c>
      <c r="J74" s="5">
        <v>180</v>
      </c>
      <c r="K74" s="9">
        <v>0</v>
      </c>
      <c r="L74" s="4">
        <v>360</v>
      </c>
      <c r="M74" s="4">
        <v>104.69</v>
      </c>
      <c r="N74" s="4">
        <v>150.62</v>
      </c>
      <c r="O74" s="3" t="s">
        <v>51</v>
      </c>
      <c r="P74" t="str">
        <f t="shared" si="1"/>
        <v>Low Sales</v>
      </c>
    </row>
    <row r="75" spans="1:16">
      <c r="A75" s="1" t="s">
        <v>142</v>
      </c>
      <c r="B75" s="2">
        <v>46174</v>
      </c>
      <c r="C75" s="3" t="s">
        <v>94</v>
      </c>
      <c r="D75" s="3" t="s">
        <v>18</v>
      </c>
      <c r="E75" s="3" t="s">
        <v>16</v>
      </c>
      <c r="F75" s="3" t="s">
        <v>61</v>
      </c>
      <c r="G75" s="3" t="s">
        <v>49</v>
      </c>
      <c r="H75" s="3" t="s">
        <v>54</v>
      </c>
      <c r="I75" s="8">
        <v>1</v>
      </c>
      <c r="J75" s="5">
        <v>520</v>
      </c>
      <c r="K75" s="9">
        <v>0</v>
      </c>
      <c r="L75" s="4">
        <v>520</v>
      </c>
      <c r="M75" s="4">
        <v>360.94</v>
      </c>
      <c r="N75" s="4">
        <v>159.06</v>
      </c>
      <c r="O75" s="3" t="s">
        <v>51</v>
      </c>
      <c r="P75" t="str">
        <f t="shared" si="1"/>
        <v>Low Sales</v>
      </c>
    </row>
    <row r="76" spans="1:16">
      <c r="A76" s="1" t="s">
        <v>143</v>
      </c>
      <c r="B76" s="2">
        <v>46176</v>
      </c>
      <c r="C76" s="3" t="s">
        <v>67</v>
      </c>
      <c r="D76" s="3" t="s">
        <v>21</v>
      </c>
      <c r="E76" s="3" t="s">
        <v>20</v>
      </c>
      <c r="F76" s="3" t="s">
        <v>57</v>
      </c>
      <c r="G76" s="3" t="s">
        <v>62</v>
      </c>
      <c r="H76" s="3" t="s">
        <v>50</v>
      </c>
      <c r="I76" s="8">
        <v>6</v>
      </c>
      <c r="J76" s="5">
        <v>60</v>
      </c>
      <c r="K76" s="9">
        <v>0.1</v>
      </c>
      <c r="L76" s="4">
        <v>324</v>
      </c>
      <c r="M76" s="4">
        <v>43.16</v>
      </c>
      <c r="N76" s="4">
        <v>65.040000000000006</v>
      </c>
      <c r="O76" s="3" t="s">
        <v>51</v>
      </c>
      <c r="P76" t="str">
        <f t="shared" si="1"/>
        <v>Low Sales</v>
      </c>
    </row>
    <row r="77" spans="1:16">
      <c r="A77" s="1" t="s">
        <v>144</v>
      </c>
      <c r="B77" s="2">
        <v>46177</v>
      </c>
      <c r="C77" s="3" t="s">
        <v>67</v>
      </c>
      <c r="D77" s="3" t="s">
        <v>21</v>
      </c>
      <c r="E77" s="3" t="s">
        <v>20</v>
      </c>
      <c r="F77" s="3" t="s">
        <v>48</v>
      </c>
      <c r="G77" s="3" t="s">
        <v>49</v>
      </c>
      <c r="H77" s="3" t="s">
        <v>54</v>
      </c>
      <c r="I77" s="8">
        <v>6</v>
      </c>
      <c r="J77" s="5">
        <v>60</v>
      </c>
      <c r="K77" s="9">
        <v>0.15</v>
      </c>
      <c r="L77" s="4">
        <v>306</v>
      </c>
      <c r="M77" s="4">
        <v>44.05</v>
      </c>
      <c r="N77" s="4">
        <v>41.7</v>
      </c>
      <c r="O77" s="3" t="s">
        <v>51</v>
      </c>
      <c r="P77" t="str">
        <f t="shared" si="1"/>
        <v>Low Sales</v>
      </c>
    </row>
    <row r="78" spans="1:16">
      <c r="A78" s="1" t="s">
        <v>145</v>
      </c>
      <c r="B78" s="2">
        <v>46178</v>
      </c>
      <c r="C78" s="3" t="s">
        <v>60</v>
      </c>
      <c r="D78" s="3" t="s">
        <v>22</v>
      </c>
      <c r="E78" s="3" t="s">
        <v>20</v>
      </c>
      <c r="F78" s="3" t="s">
        <v>61</v>
      </c>
      <c r="G78" s="3" t="s">
        <v>49</v>
      </c>
      <c r="H78" s="3" t="s">
        <v>50</v>
      </c>
      <c r="I78" s="8">
        <v>1</v>
      </c>
      <c r="J78" s="5">
        <v>40</v>
      </c>
      <c r="K78" s="9">
        <v>0.05</v>
      </c>
      <c r="L78" s="4">
        <v>38</v>
      </c>
      <c r="M78" s="4">
        <v>25.28</v>
      </c>
      <c r="N78" s="4">
        <v>12.72</v>
      </c>
      <c r="O78" s="3" t="s">
        <v>65</v>
      </c>
      <c r="P78" t="str">
        <f t="shared" si="1"/>
        <v>Low Sales</v>
      </c>
    </row>
    <row r="79" spans="1:16">
      <c r="A79" s="1" t="s">
        <v>146</v>
      </c>
      <c r="B79" s="2">
        <v>46178</v>
      </c>
      <c r="C79" s="3" t="s">
        <v>47</v>
      </c>
      <c r="D79" s="3" t="s">
        <v>10</v>
      </c>
      <c r="E79" s="3" t="s">
        <v>8</v>
      </c>
      <c r="F79" s="3" t="s">
        <v>48</v>
      </c>
      <c r="G79" s="3" t="s">
        <v>72</v>
      </c>
      <c r="H79" s="3" t="s">
        <v>63</v>
      </c>
      <c r="I79" s="8">
        <v>1</v>
      </c>
      <c r="J79" s="5">
        <v>180</v>
      </c>
      <c r="K79" s="9">
        <v>0.15</v>
      </c>
      <c r="L79" s="4">
        <v>153</v>
      </c>
      <c r="M79" s="4">
        <v>119.1</v>
      </c>
      <c r="N79" s="4">
        <v>33.9</v>
      </c>
      <c r="O79" s="3" t="s">
        <v>51</v>
      </c>
      <c r="P79" t="str">
        <f t="shared" si="1"/>
        <v>Low Sales</v>
      </c>
    </row>
    <row r="80" spans="1:16">
      <c r="A80" s="1" t="s">
        <v>147</v>
      </c>
      <c r="B80" s="2">
        <v>46179</v>
      </c>
      <c r="C80" s="3" t="s">
        <v>70</v>
      </c>
      <c r="D80" s="3" t="s">
        <v>13</v>
      </c>
      <c r="E80" s="3" t="s">
        <v>12</v>
      </c>
      <c r="F80" s="3" t="s">
        <v>71</v>
      </c>
      <c r="G80" s="3" t="s">
        <v>68</v>
      </c>
      <c r="H80" s="3" t="s">
        <v>63</v>
      </c>
      <c r="I80" s="8">
        <v>8</v>
      </c>
      <c r="J80" s="5">
        <v>450</v>
      </c>
      <c r="K80" s="9">
        <v>0.15</v>
      </c>
      <c r="L80" s="4">
        <v>3060</v>
      </c>
      <c r="M80" s="4">
        <v>353.34</v>
      </c>
      <c r="N80" s="4">
        <v>233.28</v>
      </c>
      <c r="O80" s="3" t="s">
        <v>51</v>
      </c>
      <c r="P80" t="str">
        <f t="shared" si="1"/>
        <v>High Sales</v>
      </c>
    </row>
    <row r="81" spans="1:16">
      <c r="A81" s="1" t="s">
        <v>148</v>
      </c>
      <c r="B81" s="2">
        <v>46181</v>
      </c>
      <c r="C81" s="3" t="s">
        <v>67</v>
      </c>
      <c r="D81" s="3" t="s">
        <v>21</v>
      </c>
      <c r="E81" s="3" t="s">
        <v>20</v>
      </c>
      <c r="F81" s="3" t="s">
        <v>61</v>
      </c>
      <c r="G81" s="3" t="s">
        <v>53</v>
      </c>
      <c r="H81" s="3" t="s">
        <v>63</v>
      </c>
      <c r="I81" s="8">
        <v>4</v>
      </c>
      <c r="J81" s="5">
        <v>60</v>
      </c>
      <c r="K81" s="9">
        <v>0</v>
      </c>
      <c r="L81" s="4">
        <v>240</v>
      </c>
      <c r="M81" s="4">
        <v>38.85</v>
      </c>
      <c r="N81" s="4">
        <v>84.6</v>
      </c>
      <c r="O81" s="3" t="s">
        <v>65</v>
      </c>
      <c r="P81" t="str">
        <f t="shared" si="1"/>
        <v>Low Sales</v>
      </c>
    </row>
    <row r="82" spans="1:16">
      <c r="A82" s="1" t="s">
        <v>149</v>
      </c>
      <c r="B82" s="2">
        <v>46183</v>
      </c>
      <c r="C82" s="3" t="s">
        <v>94</v>
      </c>
      <c r="D82" s="3" t="s">
        <v>18</v>
      </c>
      <c r="E82" s="3" t="s">
        <v>16</v>
      </c>
      <c r="F82" s="3" t="s">
        <v>57</v>
      </c>
      <c r="G82" s="3" t="s">
        <v>53</v>
      </c>
      <c r="H82" s="3" t="s">
        <v>50</v>
      </c>
      <c r="I82" s="8">
        <v>6</v>
      </c>
      <c r="J82" s="5">
        <v>520</v>
      </c>
      <c r="K82" s="9">
        <v>0.05</v>
      </c>
      <c r="L82" s="4">
        <v>2964</v>
      </c>
      <c r="M82" s="4">
        <v>333.09</v>
      </c>
      <c r="N82" s="4">
        <v>965.46</v>
      </c>
      <c r="O82" s="3" t="s">
        <v>65</v>
      </c>
      <c r="P82" t="str">
        <f t="shared" si="1"/>
        <v>High Sales</v>
      </c>
    </row>
    <row r="83" spans="1:16">
      <c r="A83" s="1" t="s">
        <v>150</v>
      </c>
      <c r="B83" s="2">
        <v>46183</v>
      </c>
      <c r="C83" s="3" t="s">
        <v>94</v>
      </c>
      <c r="D83" s="3" t="s">
        <v>18</v>
      </c>
      <c r="E83" s="3" t="s">
        <v>16</v>
      </c>
      <c r="F83" s="3" t="s">
        <v>57</v>
      </c>
      <c r="G83" s="3" t="s">
        <v>53</v>
      </c>
      <c r="H83" s="3" t="s">
        <v>63</v>
      </c>
      <c r="I83" s="8">
        <v>5</v>
      </c>
      <c r="J83" s="5">
        <v>520</v>
      </c>
      <c r="K83" s="9">
        <v>0.15</v>
      </c>
      <c r="L83" s="4">
        <v>2210</v>
      </c>
      <c r="M83" s="4">
        <v>400.58</v>
      </c>
      <c r="N83" s="4">
        <v>207.1</v>
      </c>
      <c r="O83" s="3" t="s">
        <v>58</v>
      </c>
      <c r="P83" t="str">
        <f t="shared" si="1"/>
        <v>High Sales</v>
      </c>
    </row>
    <row r="84" spans="1:16">
      <c r="A84" s="1" t="s">
        <v>151</v>
      </c>
      <c r="B84" s="2">
        <v>46184</v>
      </c>
      <c r="C84" s="3" t="s">
        <v>70</v>
      </c>
      <c r="D84" s="3" t="s">
        <v>13</v>
      </c>
      <c r="E84" s="3" t="s">
        <v>12</v>
      </c>
      <c r="F84" s="3" t="s">
        <v>71</v>
      </c>
      <c r="G84" s="3" t="s">
        <v>62</v>
      </c>
      <c r="H84" s="3" t="s">
        <v>63</v>
      </c>
      <c r="I84" s="8">
        <v>7</v>
      </c>
      <c r="J84" s="5">
        <v>450</v>
      </c>
      <c r="K84" s="9">
        <v>0.05</v>
      </c>
      <c r="L84" s="4">
        <v>2992.5</v>
      </c>
      <c r="M84" s="4">
        <v>285.64</v>
      </c>
      <c r="N84" s="4">
        <v>993.02</v>
      </c>
      <c r="O84" s="3" t="s">
        <v>58</v>
      </c>
      <c r="P84" t="str">
        <f t="shared" si="1"/>
        <v>High Sales</v>
      </c>
    </row>
    <row r="85" spans="1:16">
      <c r="A85" s="1" t="s">
        <v>152</v>
      </c>
      <c r="B85" s="2">
        <v>46185</v>
      </c>
      <c r="C85" s="3" t="s">
        <v>67</v>
      </c>
      <c r="D85" s="3" t="s">
        <v>21</v>
      </c>
      <c r="E85" s="3" t="s">
        <v>20</v>
      </c>
      <c r="F85" s="3" t="s">
        <v>57</v>
      </c>
      <c r="G85" s="3" t="s">
        <v>68</v>
      </c>
      <c r="H85" s="3" t="s">
        <v>63</v>
      </c>
      <c r="I85" s="8">
        <v>7</v>
      </c>
      <c r="J85" s="5">
        <v>60</v>
      </c>
      <c r="K85" s="9">
        <v>0.1</v>
      </c>
      <c r="L85" s="4">
        <v>378</v>
      </c>
      <c r="M85" s="4">
        <v>45.1</v>
      </c>
      <c r="N85" s="4">
        <v>62.3</v>
      </c>
      <c r="O85" s="3" t="s">
        <v>58</v>
      </c>
      <c r="P85" t="str">
        <f t="shared" si="1"/>
        <v>Low Sales</v>
      </c>
    </row>
    <row r="86" spans="1:16">
      <c r="A86" s="1" t="s">
        <v>153</v>
      </c>
      <c r="B86" s="2">
        <v>46187</v>
      </c>
      <c r="C86" s="3" t="s">
        <v>67</v>
      </c>
      <c r="D86" s="3" t="s">
        <v>21</v>
      </c>
      <c r="E86" s="3" t="s">
        <v>20</v>
      </c>
      <c r="F86" s="3" t="s">
        <v>61</v>
      </c>
      <c r="G86" s="3" t="s">
        <v>49</v>
      </c>
      <c r="H86" s="3" t="s">
        <v>63</v>
      </c>
      <c r="I86" s="8">
        <v>4</v>
      </c>
      <c r="J86" s="5">
        <v>60</v>
      </c>
      <c r="K86" s="9">
        <v>0.1</v>
      </c>
      <c r="L86" s="4">
        <v>216</v>
      </c>
      <c r="M86" s="4">
        <v>36.42</v>
      </c>
      <c r="N86" s="4">
        <v>70.319999999999993</v>
      </c>
      <c r="O86" s="3" t="s">
        <v>58</v>
      </c>
      <c r="P86" t="str">
        <f t="shared" si="1"/>
        <v>Low Sales</v>
      </c>
    </row>
    <row r="87" spans="1:16">
      <c r="A87" s="1" t="s">
        <v>154</v>
      </c>
      <c r="B87" s="2">
        <v>46189</v>
      </c>
      <c r="C87" s="3" t="s">
        <v>47</v>
      </c>
      <c r="D87" s="3" t="s">
        <v>10</v>
      </c>
      <c r="E87" s="3" t="s">
        <v>8</v>
      </c>
      <c r="F87" s="3" t="s">
        <v>61</v>
      </c>
      <c r="G87" s="3" t="s">
        <v>53</v>
      </c>
      <c r="H87" s="3" t="s">
        <v>50</v>
      </c>
      <c r="I87" s="8">
        <v>1</v>
      </c>
      <c r="J87" s="5">
        <v>180</v>
      </c>
      <c r="K87" s="9">
        <v>0.1</v>
      </c>
      <c r="L87" s="4">
        <v>162</v>
      </c>
      <c r="M87" s="4">
        <v>127.97</v>
      </c>
      <c r="N87" s="4">
        <v>34.03</v>
      </c>
      <c r="O87" s="3" t="s">
        <v>65</v>
      </c>
      <c r="P87" t="str">
        <f t="shared" si="1"/>
        <v>Low Sales</v>
      </c>
    </row>
    <row r="88" spans="1:16">
      <c r="A88" s="1" t="s">
        <v>155</v>
      </c>
      <c r="B88" s="2">
        <v>46190</v>
      </c>
      <c r="C88" s="3" t="s">
        <v>47</v>
      </c>
      <c r="D88" s="3" t="s">
        <v>10</v>
      </c>
      <c r="E88" s="3" t="s">
        <v>8</v>
      </c>
      <c r="F88" s="3" t="s">
        <v>57</v>
      </c>
      <c r="G88" s="3" t="s">
        <v>49</v>
      </c>
      <c r="H88" s="3" t="s">
        <v>63</v>
      </c>
      <c r="I88" s="8">
        <v>1</v>
      </c>
      <c r="J88" s="5">
        <v>180</v>
      </c>
      <c r="K88" s="9">
        <v>0.1</v>
      </c>
      <c r="L88" s="4">
        <v>162</v>
      </c>
      <c r="M88" s="4">
        <v>130.16</v>
      </c>
      <c r="N88" s="4">
        <v>31.84</v>
      </c>
      <c r="O88" s="3" t="s">
        <v>65</v>
      </c>
      <c r="P88" t="str">
        <f t="shared" si="1"/>
        <v>Low Sales</v>
      </c>
    </row>
    <row r="89" spans="1:16">
      <c r="A89" s="1" t="s">
        <v>156</v>
      </c>
      <c r="B89" s="2">
        <v>46190</v>
      </c>
      <c r="C89" s="3" t="s">
        <v>70</v>
      </c>
      <c r="D89" s="3" t="s">
        <v>13</v>
      </c>
      <c r="E89" s="3" t="s">
        <v>12</v>
      </c>
      <c r="F89" s="3" t="s">
        <v>61</v>
      </c>
      <c r="G89" s="3" t="s">
        <v>68</v>
      </c>
      <c r="H89" s="3" t="s">
        <v>54</v>
      </c>
      <c r="I89" s="8">
        <v>7</v>
      </c>
      <c r="J89" s="5">
        <v>450</v>
      </c>
      <c r="K89" s="9">
        <v>0.1</v>
      </c>
      <c r="L89" s="4">
        <v>2835</v>
      </c>
      <c r="M89" s="4">
        <v>271.87</v>
      </c>
      <c r="N89" s="4">
        <v>931.91</v>
      </c>
      <c r="O89" s="3" t="s">
        <v>58</v>
      </c>
      <c r="P89" t="str">
        <f t="shared" si="1"/>
        <v>High Sales</v>
      </c>
    </row>
    <row r="90" spans="1:16">
      <c r="A90" s="1" t="s">
        <v>157</v>
      </c>
      <c r="B90" s="2">
        <v>46193</v>
      </c>
      <c r="C90" s="3" t="s">
        <v>81</v>
      </c>
      <c r="D90" s="3" t="s">
        <v>17</v>
      </c>
      <c r="E90" s="3" t="s">
        <v>16</v>
      </c>
      <c r="F90" s="3" t="s">
        <v>71</v>
      </c>
      <c r="G90" s="3" t="s">
        <v>53</v>
      </c>
      <c r="H90" s="3" t="s">
        <v>63</v>
      </c>
      <c r="I90" s="8">
        <v>2</v>
      </c>
      <c r="J90" s="5">
        <v>220</v>
      </c>
      <c r="K90" s="9">
        <v>0.05</v>
      </c>
      <c r="L90" s="4">
        <v>418</v>
      </c>
      <c r="M90" s="4">
        <v>169.98</v>
      </c>
      <c r="N90" s="4">
        <v>78.040000000000006</v>
      </c>
      <c r="O90" s="3" t="s">
        <v>58</v>
      </c>
      <c r="P90" t="str">
        <f t="shared" si="1"/>
        <v>Low Sales</v>
      </c>
    </row>
    <row r="91" spans="1:16">
      <c r="A91" s="1" t="s">
        <v>158</v>
      </c>
      <c r="B91" s="2">
        <v>46197</v>
      </c>
      <c r="C91" s="3" t="s">
        <v>70</v>
      </c>
      <c r="D91" s="3" t="s">
        <v>13</v>
      </c>
      <c r="E91" s="3" t="s">
        <v>12</v>
      </c>
      <c r="F91" s="3" t="s">
        <v>61</v>
      </c>
      <c r="G91" s="3" t="s">
        <v>53</v>
      </c>
      <c r="H91" s="3" t="s">
        <v>54</v>
      </c>
      <c r="I91" s="8">
        <v>3</v>
      </c>
      <c r="J91" s="5">
        <v>450</v>
      </c>
      <c r="K91" s="9">
        <v>0.1</v>
      </c>
      <c r="L91" s="4">
        <v>1215</v>
      </c>
      <c r="M91" s="4">
        <v>289.25</v>
      </c>
      <c r="N91" s="4">
        <v>347.25</v>
      </c>
      <c r="O91" s="3" t="s">
        <v>65</v>
      </c>
      <c r="P91" t="str">
        <f t="shared" si="1"/>
        <v>Low Sales</v>
      </c>
    </row>
    <row r="92" spans="1:16">
      <c r="A92" s="1" t="s">
        <v>159</v>
      </c>
      <c r="B92" s="2">
        <v>46197</v>
      </c>
      <c r="C92" s="3" t="s">
        <v>79</v>
      </c>
      <c r="D92" s="3" t="s">
        <v>14</v>
      </c>
      <c r="E92" s="3" t="s">
        <v>12</v>
      </c>
      <c r="F92" s="3" t="s">
        <v>71</v>
      </c>
      <c r="G92" s="3" t="s">
        <v>53</v>
      </c>
      <c r="H92" s="3" t="s">
        <v>63</v>
      </c>
      <c r="I92" s="8">
        <v>4</v>
      </c>
      <c r="J92" s="5">
        <v>650</v>
      </c>
      <c r="K92" s="9">
        <v>0.05</v>
      </c>
      <c r="L92" s="4">
        <v>2470</v>
      </c>
      <c r="M92" s="4">
        <v>499.25</v>
      </c>
      <c r="N92" s="4">
        <v>473</v>
      </c>
      <c r="O92" s="3" t="s">
        <v>58</v>
      </c>
      <c r="P92" t="str">
        <f t="shared" si="1"/>
        <v>High Sales</v>
      </c>
    </row>
    <row r="93" spans="1:16">
      <c r="A93" s="1" t="s">
        <v>160</v>
      </c>
      <c r="B93" s="2">
        <v>46199</v>
      </c>
      <c r="C93" s="3" t="s">
        <v>81</v>
      </c>
      <c r="D93" s="3" t="s">
        <v>17</v>
      </c>
      <c r="E93" s="3" t="s">
        <v>16</v>
      </c>
      <c r="F93" s="3" t="s">
        <v>61</v>
      </c>
      <c r="G93" s="3" t="s">
        <v>53</v>
      </c>
      <c r="H93" s="3" t="s">
        <v>63</v>
      </c>
      <c r="I93" s="8">
        <v>7</v>
      </c>
      <c r="J93" s="5">
        <v>220</v>
      </c>
      <c r="K93" s="9">
        <v>0.15</v>
      </c>
      <c r="L93" s="4">
        <v>1309</v>
      </c>
      <c r="M93" s="4">
        <v>124.39</v>
      </c>
      <c r="N93" s="4">
        <v>438.27</v>
      </c>
      <c r="O93" s="3" t="s">
        <v>51</v>
      </c>
      <c r="P93" t="str">
        <f t="shared" si="1"/>
        <v>Low Sales</v>
      </c>
    </row>
    <row r="94" spans="1:16">
      <c r="A94" s="1" t="s">
        <v>161</v>
      </c>
      <c r="B94" s="2">
        <v>46210</v>
      </c>
      <c r="C94" s="3" t="s">
        <v>81</v>
      </c>
      <c r="D94" s="3" t="s">
        <v>17</v>
      </c>
      <c r="E94" s="3" t="s">
        <v>16</v>
      </c>
      <c r="F94" s="3" t="s">
        <v>57</v>
      </c>
      <c r="G94" s="3" t="s">
        <v>62</v>
      </c>
      <c r="H94" s="3" t="s">
        <v>54</v>
      </c>
      <c r="I94" s="8">
        <v>1</v>
      </c>
      <c r="J94" s="5">
        <v>220</v>
      </c>
      <c r="K94" s="9">
        <v>0.05</v>
      </c>
      <c r="L94" s="4">
        <v>209</v>
      </c>
      <c r="M94" s="4">
        <v>164.74</v>
      </c>
      <c r="N94" s="4">
        <v>44.26</v>
      </c>
      <c r="O94" s="3" t="s">
        <v>65</v>
      </c>
      <c r="P94" t="str">
        <f t="shared" si="1"/>
        <v>Low Sales</v>
      </c>
    </row>
    <row r="95" spans="1:16">
      <c r="A95" s="1" t="s">
        <v>162</v>
      </c>
      <c r="B95" s="2">
        <v>46212</v>
      </c>
      <c r="C95" s="3" t="s">
        <v>56</v>
      </c>
      <c r="D95" s="3" t="s">
        <v>9</v>
      </c>
      <c r="E95" s="3" t="s">
        <v>8</v>
      </c>
      <c r="F95" s="3" t="s">
        <v>61</v>
      </c>
      <c r="G95" s="3" t="s">
        <v>72</v>
      </c>
      <c r="H95" s="3" t="s">
        <v>63</v>
      </c>
      <c r="I95" s="8">
        <v>1</v>
      </c>
      <c r="J95" s="5">
        <v>750</v>
      </c>
      <c r="K95" s="9">
        <v>0</v>
      </c>
      <c r="L95" s="4">
        <v>750</v>
      </c>
      <c r="M95" s="4">
        <v>587.4</v>
      </c>
      <c r="N95" s="4">
        <v>162.6</v>
      </c>
      <c r="O95" s="3" t="s">
        <v>51</v>
      </c>
      <c r="P95" t="str">
        <f t="shared" si="1"/>
        <v>Low Sales</v>
      </c>
    </row>
    <row r="96" spans="1:16">
      <c r="A96" s="1" t="s">
        <v>163</v>
      </c>
      <c r="B96" s="2">
        <v>46212</v>
      </c>
      <c r="C96" s="3" t="s">
        <v>81</v>
      </c>
      <c r="D96" s="3" t="s">
        <v>17</v>
      </c>
      <c r="E96" s="3" t="s">
        <v>16</v>
      </c>
      <c r="F96" s="3" t="s">
        <v>48</v>
      </c>
      <c r="G96" s="3" t="s">
        <v>68</v>
      </c>
      <c r="H96" s="3" t="s">
        <v>54</v>
      </c>
      <c r="I96" s="8">
        <v>1</v>
      </c>
      <c r="J96" s="5">
        <v>220</v>
      </c>
      <c r="K96" s="9">
        <v>0</v>
      </c>
      <c r="L96" s="4">
        <v>220</v>
      </c>
      <c r="M96" s="4">
        <v>171.4</v>
      </c>
      <c r="N96" s="4">
        <v>48.6</v>
      </c>
      <c r="O96" s="3" t="s">
        <v>65</v>
      </c>
      <c r="P96" t="str">
        <f t="shared" si="1"/>
        <v>Low Sales</v>
      </c>
    </row>
    <row r="97" spans="1:16">
      <c r="A97" s="1" t="s">
        <v>164</v>
      </c>
      <c r="B97" s="2">
        <v>46215</v>
      </c>
      <c r="C97" s="3" t="s">
        <v>47</v>
      </c>
      <c r="D97" s="3" t="s">
        <v>10</v>
      </c>
      <c r="E97" s="3" t="s">
        <v>8</v>
      </c>
      <c r="F97" s="3" t="s">
        <v>48</v>
      </c>
      <c r="G97" s="3" t="s">
        <v>49</v>
      </c>
      <c r="H97" s="3" t="s">
        <v>50</v>
      </c>
      <c r="I97" s="8">
        <v>5</v>
      </c>
      <c r="J97" s="5">
        <v>180</v>
      </c>
      <c r="K97" s="9">
        <v>0</v>
      </c>
      <c r="L97" s="4">
        <v>900</v>
      </c>
      <c r="M97" s="4">
        <v>128.11000000000001</v>
      </c>
      <c r="N97" s="4">
        <v>259.45</v>
      </c>
      <c r="O97" s="3" t="s">
        <v>58</v>
      </c>
      <c r="P97" t="str">
        <f t="shared" si="1"/>
        <v>Low Sales</v>
      </c>
    </row>
    <row r="98" spans="1:16">
      <c r="A98" s="1" t="s">
        <v>165</v>
      </c>
      <c r="B98" s="2">
        <v>46216</v>
      </c>
      <c r="C98" s="3" t="s">
        <v>47</v>
      </c>
      <c r="D98" s="3" t="s">
        <v>10</v>
      </c>
      <c r="E98" s="3" t="s">
        <v>8</v>
      </c>
      <c r="F98" s="3" t="s">
        <v>71</v>
      </c>
      <c r="G98" s="3" t="s">
        <v>62</v>
      </c>
      <c r="H98" s="3" t="s">
        <v>50</v>
      </c>
      <c r="I98" s="8">
        <v>3</v>
      </c>
      <c r="J98" s="5">
        <v>180</v>
      </c>
      <c r="K98" s="9">
        <v>0.05</v>
      </c>
      <c r="L98" s="4">
        <v>513</v>
      </c>
      <c r="M98" s="4">
        <v>108.07</v>
      </c>
      <c r="N98" s="4">
        <v>188.79</v>
      </c>
      <c r="O98" s="3" t="s">
        <v>58</v>
      </c>
      <c r="P98" t="str">
        <f t="shared" si="1"/>
        <v>Low Sales</v>
      </c>
    </row>
    <row r="99" spans="1:16">
      <c r="A99" s="1" t="s">
        <v>166</v>
      </c>
      <c r="B99" s="2">
        <v>46217</v>
      </c>
      <c r="C99" s="3" t="s">
        <v>56</v>
      </c>
      <c r="D99" s="3" t="s">
        <v>9</v>
      </c>
      <c r="E99" s="3" t="s">
        <v>8</v>
      </c>
      <c r="F99" s="3" t="s">
        <v>61</v>
      </c>
      <c r="G99" s="3" t="s">
        <v>68</v>
      </c>
      <c r="H99" s="3" t="s">
        <v>54</v>
      </c>
      <c r="I99" s="8">
        <v>4</v>
      </c>
      <c r="J99" s="5">
        <v>750</v>
      </c>
      <c r="K99" s="9">
        <v>0.1</v>
      </c>
      <c r="L99" s="4">
        <v>2700</v>
      </c>
      <c r="M99" s="4">
        <v>441.97</v>
      </c>
      <c r="N99" s="4">
        <v>932.12</v>
      </c>
      <c r="O99" s="3" t="s">
        <v>65</v>
      </c>
      <c r="P99" t="str">
        <f t="shared" si="1"/>
        <v>High Sales</v>
      </c>
    </row>
    <row r="100" spans="1:16">
      <c r="A100" s="1" t="s">
        <v>167</v>
      </c>
      <c r="B100" s="2">
        <v>46219</v>
      </c>
      <c r="C100" s="3" t="s">
        <v>81</v>
      </c>
      <c r="D100" s="3" t="s">
        <v>17</v>
      </c>
      <c r="E100" s="3" t="s">
        <v>16</v>
      </c>
      <c r="F100" s="3" t="s">
        <v>71</v>
      </c>
      <c r="G100" s="3" t="s">
        <v>49</v>
      </c>
      <c r="H100" s="3" t="s">
        <v>63</v>
      </c>
      <c r="I100" s="8">
        <v>5</v>
      </c>
      <c r="J100" s="5">
        <v>220</v>
      </c>
      <c r="K100" s="9">
        <v>0.05</v>
      </c>
      <c r="L100" s="4">
        <v>1045</v>
      </c>
      <c r="M100" s="4">
        <v>155.19</v>
      </c>
      <c r="N100" s="4">
        <v>269.05</v>
      </c>
      <c r="O100" s="3" t="s">
        <v>51</v>
      </c>
      <c r="P100" t="str">
        <f t="shared" si="1"/>
        <v>Low Sales</v>
      </c>
    </row>
    <row r="101" spans="1:16">
      <c r="A101" s="1" t="s">
        <v>168</v>
      </c>
      <c r="B101" s="2">
        <v>46226</v>
      </c>
      <c r="C101" s="3" t="s">
        <v>56</v>
      </c>
      <c r="D101" s="3" t="s">
        <v>9</v>
      </c>
      <c r="E101" s="3" t="s">
        <v>8</v>
      </c>
      <c r="F101" s="3" t="s">
        <v>48</v>
      </c>
      <c r="G101" s="3" t="s">
        <v>68</v>
      </c>
      <c r="H101" s="3" t="s">
        <v>63</v>
      </c>
      <c r="I101" s="8">
        <v>7</v>
      </c>
      <c r="J101" s="5">
        <v>750</v>
      </c>
      <c r="K101" s="9">
        <v>0.15</v>
      </c>
      <c r="L101" s="4">
        <v>4462.5</v>
      </c>
      <c r="M101" s="4">
        <v>461.44</v>
      </c>
      <c r="N101" s="4">
        <v>1232.42</v>
      </c>
      <c r="O101" s="3" t="s">
        <v>51</v>
      </c>
      <c r="P101" t="str">
        <f t="shared" si="1"/>
        <v>High Sales</v>
      </c>
    </row>
    <row r="102" spans="1:16">
      <c r="A102" s="1" t="s">
        <v>169</v>
      </c>
      <c r="B102" s="2">
        <v>46226</v>
      </c>
      <c r="C102" s="3" t="s">
        <v>56</v>
      </c>
      <c r="D102" s="3" t="s">
        <v>9</v>
      </c>
      <c r="E102" s="3" t="s">
        <v>8</v>
      </c>
      <c r="F102" s="3" t="s">
        <v>48</v>
      </c>
      <c r="G102" s="3" t="s">
        <v>72</v>
      </c>
      <c r="H102" s="3" t="s">
        <v>54</v>
      </c>
      <c r="I102" s="8">
        <v>7</v>
      </c>
      <c r="J102" s="5">
        <v>750</v>
      </c>
      <c r="K102" s="9">
        <v>0</v>
      </c>
      <c r="L102" s="4">
        <v>5250</v>
      </c>
      <c r="M102" s="4">
        <v>442.26</v>
      </c>
      <c r="N102" s="4">
        <v>2154.1799999999998</v>
      </c>
      <c r="O102" s="3" t="s">
        <v>51</v>
      </c>
      <c r="P102" t="str">
        <f t="shared" si="1"/>
        <v>High Sales</v>
      </c>
    </row>
    <row r="103" spans="1:16">
      <c r="A103" s="1" t="s">
        <v>170</v>
      </c>
      <c r="B103" s="2">
        <v>46226</v>
      </c>
      <c r="C103" s="3" t="s">
        <v>81</v>
      </c>
      <c r="D103" s="3" t="s">
        <v>17</v>
      </c>
      <c r="E103" s="3" t="s">
        <v>16</v>
      </c>
      <c r="F103" s="3" t="s">
        <v>57</v>
      </c>
      <c r="G103" s="3" t="s">
        <v>68</v>
      </c>
      <c r="H103" s="3" t="s">
        <v>63</v>
      </c>
      <c r="I103" s="8">
        <v>3</v>
      </c>
      <c r="J103" s="5">
        <v>220</v>
      </c>
      <c r="K103" s="9">
        <v>0.05</v>
      </c>
      <c r="L103" s="4">
        <v>627</v>
      </c>
      <c r="M103" s="4">
        <v>141.72999999999999</v>
      </c>
      <c r="N103" s="4">
        <v>201.81</v>
      </c>
      <c r="O103" s="3" t="s">
        <v>51</v>
      </c>
      <c r="P103" t="str">
        <f t="shared" si="1"/>
        <v>Low Sales</v>
      </c>
    </row>
    <row r="104" spans="1:16">
      <c r="A104" s="1" t="s">
        <v>171</v>
      </c>
      <c r="B104" s="2">
        <v>46228</v>
      </c>
      <c r="C104" s="3" t="s">
        <v>79</v>
      </c>
      <c r="D104" s="3" t="s">
        <v>14</v>
      </c>
      <c r="E104" s="3" t="s">
        <v>12</v>
      </c>
      <c r="F104" s="3" t="s">
        <v>61</v>
      </c>
      <c r="G104" s="3" t="s">
        <v>62</v>
      </c>
      <c r="H104" s="3" t="s">
        <v>50</v>
      </c>
      <c r="I104" s="8">
        <v>3</v>
      </c>
      <c r="J104" s="5">
        <v>650</v>
      </c>
      <c r="K104" s="9">
        <v>0.1</v>
      </c>
      <c r="L104" s="4">
        <v>1755</v>
      </c>
      <c r="M104" s="4">
        <v>480.18</v>
      </c>
      <c r="N104" s="4">
        <v>314.45999999999998</v>
      </c>
      <c r="O104" s="3" t="s">
        <v>51</v>
      </c>
      <c r="P104" t="str">
        <f t="shared" si="1"/>
        <v>Low Sales</v>
      </c>
    </row>
    <row r="105" spans="1:16">
      <c r="A105" s="1" t="s">
        <v>172</v>
      </c>
      <c r="B105" s="2">
        <v>46230</v>
      </c>
      <c r="C105" s="3" t="s">
        <v>60</v>
      </c>
      <c r="D105" s="3" t="s">
        <v>22</v>
      </c>
      <c r="E105" s="3" t="s">
        <v>20</v>
      </c>
      <c r="F105" s="3" t="s">
        <v>61</v>
      </c>
      <c r="G105" s="3" t="s">
        <v>68</v>
      </c>
      <c r="H105" s="3" t="s">
        <v>63</v>
      </c>
      <c r="I105" s="8">
        <v>4</v>
      </c>
      <c r="J105" s="5">
        <v>40</v>
      </c>
      <c r="K105" s="9">
        <v>0.1</v>
      </c>
      <c r="L105" s="4">
        <v>144</v>
      </c>
      <c r="M105" s="4">
        <v>27.3</v>
      </c>
      <c r="N105" s="4">
        <v>34.799999999999997</v>
      </c>
      <c r="O105" s="3" t="s">
        <v>58</v>
      </c>
      <c r="P105" t="str">
        <f t="shared" si="1"/>
        <v>Low Sales</v>
      </c>
    </row>
    <row r="106" spans="1:16">
      <c r="A106" s="1" t="s">
        <v>173</v>
      </c>
      <c r="B106" s="2">
        <v>46231</v>
      </c>
      <c r="C106" s="3" t="s">
        <v>56</v>
      </c>
      <c r="D106" s="3" t="s">
        <v>9</v>
      </c>
      <c r="E106" s="3" t="s">
        <v>8</v>
      </c>
      <c r="F106" s="3" t="s">
        <v>71</v>
      </c>
      <c r="G106" s="3" t="s">
        <v>53</v>
      </c>
      <c r="H106" s="3" t="s">
        <v>50</v>
      </c>
      <c r="I106" s="8">
        <v>1</v>
      </c>
      <c r="J106" s="5">
        <v>750</v>
      </c>
      <c r="K106" s="9">
        <v>0.15</v>
      </c>
      <c r="L106" s="4">
        <v>637.5</v>
      </c>
      <c r="M106" s="4">
        <v>527.98</v>
      </c>
      <c r="N106" s="4">
        <v>109.52</v>
      </c>
      <c r="O106" s="3" t="s">
        <v>65</v>
      </c>
      <c r="P106" t="str">
        <f t="shared" si="1"/>
        <v>Low Sales</v>
      </c>
    </row>
    <row r="107" spans="1:16">
      <c r="A107" s="1" t="s">
        <v>174</v>
      </c>
      <c r="B107" s="2">
        <v>46232</v>
      </c>
      <c r="C107" s="3" t="s">
        <v>56</v>
      </c>
      <c r="D107" s="3" t="s">
        <v>9</v>
      </c>
      <c r="E107" s="3" t="s">
        <v>8</v>
      </c>
      <c r="F107" s="3" t="s">
        <v>48</v>
      </c>
      <c r="G107" s="3" t="s">
        <v>62</v>
      </c>
      <c r="H107" s="3" t="s">
        <v>54</v>
      </c>
      <c r="I107" s="8">
        <v>6</v>
      </c>
      <c r="J107" s="5">
        <v>750</v>
      </c>
      <c r="K107" s="9">
        <v>0.1</v>
      </c>
      <c r="L107" s="4">
        <v>4050</v>
      </c>
      <c r="M107" s="4">
        <v>449.81</v>
      </c>
      <c r="N107" s="4">
        <v>1351.14</v>
      </c>
      <c r="O107" s="3" t="s">
        <v>51</v>
      </c>
      <c r="P107" t="str">
        <f t="shared" si="1"/>
        <v>High Sales</v>
      </c>
    </row>
    <row r="108" spans="1:16">
      <c r="A108" s="1" t="s">
        <v>175</v>
      </c>
      <c r="B108" s="2">
        <v>46233</v>
      </c>
      <c r="C108" s="3" t="s">
        <v>60</v>
      </c>
      <c r="D108" s="3" t="s">
        <v>22</v>
      </c>
      <c r="E108" s="3" t="s">
        <v>20</v>
      </c>
      <c r="F108" s="3" t="s">
        <v>61</v>
      </c>
      <c r="G108" s="3" t="s">
        <v>72</v>
      </c>
      <c r="H108" s="3" t="s">
        <v>50</v>
      </c>
      <c r="I108" s="8">
        <v>5</v>
      </c>
      <c r="J108" s="5">
        <v>40</v>
      </c>
      <c r="K108" s="9">
        <v>0.05</v>
      </c>
      <c r="L108" s="4">
        <v>190</v>
      </c>
      <c r="M108" s="4">
        <v>25.57</v>
      </c>
      <c r="N108" s="4">
        <v>62.15</v>
      </c>
      <c r="O108" s="3" t="s">
        <v>58</v>
      </c>
      <c r="P108" t="str">
        <f t="shared" si="1"/>
        <v>Low Sales</v>
      </c>
    </row>
    <row r="109" spans="1:16">
      <c r="A109" s="1" t="s">
        <v>176</v>
      </c>
      <c r="B109" s="2">
        <v>46234</v>
      </c>
      <c r="C109" s="3" t="s">
        <v>70</v>
      </c>
      <c r="D109" s="3" t="s">
        <v>13</v>
      </c>
      <c r="E109" s="3" t="s">
        <v>12</v>
      </c>
      <c r="F109" s="3" t="s">
        <v>71</v>
      </c>
      <c r="G109" s="3" t="s">
        <v>53</v>
      </c>
      <c r="H109" s="3" t="s">
        <v>54</v>
      </c>
      <c r="I109" s="8">
        <v>8</v>
      </c>
      <c r="J109" s="5">
        <v>450</v>
      </c>
      <c r="K109" s="9">
        <v>0.1</v>
      </c>
      <c r="L109" s="4">
        <v>3240</v>
      </c>
      <c r="M109" s="4">
        <v>333.78</v>
      </c>
      <c r="N109" s="4">
        <v>569.76</v>
      </c>
      <c r="O109" s="3" t="s">
        <v>51</v>
      </c>
      <c r="P109" t="str">
        <f t="shared" si="1"/>
        <v>High Sales</v>
      </c>
    </row>
    <row r="110" spans="1:16">
      <c r="A110" s="1" t="s">
        <v>177</v>
      </c>
      <c r="B110" s="2">
        <v>46237</v>
      </c>
      <c r="C110" s="3" t="s">
        <v>47</v>
      </c>
      <c r="D110" s="3" t="s">
        <v>10</v>
      </c>
      <c r="E110" s="3" t="s">
        <v>8</v>
      </c>
      <c r="F110" s="3" t="s">
        <v>57</v>
      </c>
      <c r="G110" s="3" t="s">
        <v>53</v>
      </c>
      <c r="H110" s="3" t="s">
        <v>54</v>
      </c>
      <c r="I110" s="8">
        <v>6</v>
      </c>
      <c r="J110" s="5">
        <v>180</v>
      </c>
      <c r="K110" s="9">
        <v>0.1</v>
      </c>
      <c r="L110" s="4">
        <v>972</v>
      </c>
      <c r="M110" s="4">
        <v>129.21</v>
      </c>
      <c r="N110" s="4">
        <v>196.74</v>
      </c>
      <c r="O110" s="3" t="s">
        <v>65</v>
      </c>
      <c r="P110" t="str">
        <f t="shared" si="1"/>
        <v>Low Sales</v>
      </c>
    </row>
    <row r="111" spans="1:16">
      <c r="A111" s="1" t="s">
        <v>178</v>
      </c>
      <c r="B111" s="2">
        <v>46241</v>
      </c>
      <c r="C111" s="3" t="s">
        <v>94</v>
      </c>
      <c r="D111" s="3" t="s">
        <v>18</v>
      </c>
      <c r="E111" s="3" t="s">
        <v>16</v>
      </c>
      <c r="F111" s="3" t="s">
        <v>57</v>
      </c>
      <c r="G111" s="3" t="s">
        <v>72</v>
      </c>
      <c r="H111" s="3" t="s">
        <v>54</v>
      </c>
      <c r="I111" s="8">
        <v>6</v>
      </c>
      <c r="J111" s="5">
        <v>520</v>
      </c>
      <c r="K111" s="9">
        <v>0.1</v>
      </c>
      <c r="L111" s="4">
        <v>2808</v>
      </c>
      <c r="M111" s="4">
        <v>407.73</v>
      </c>
      <c r="N111" s="4">
        <v>361.62</v>
      </c>
      <c r="O111" s="3" t="s">
        <v>51</v>
      </c>
      <c r="P111" t="str">
        <f t="shared" si="1"/>
        <v>High Sales</v>
      </c>
    </row>
    <row r="112" spans="1:16">
      <c r="A112" s="1" t="s">
        <v>179</v>
      </c>
      <c r="B112" s="2">
        <v>46248</v>
      </c>
      <c r="C112" s="3" t="s">
        <v>47</v>
      </c>
      <c r="D112" s="3" t="s">
        <v>10</v>
      </c>
      <c r="E112" s="3" t="s">
        <v>8</v>
      </c>
      <c r="F112" s="3" t="s">
        <v>61</v>
      </c>
      <c r="G112" s="3" t="s">
        <v>53</v>
      </c>
      <c r="H112" s="3" t="s">
        <v>50</v>
      </c>
      <c r="I112" s="8">
        <v>1</v>
      </c>
      <c r="J112" s="5">
        <v>180</v>
      </c>
      <c r="K112" s="9">
        <v>0</v>
      </c>
      <c r="L112" s="4">
        <v>180</v>
      </c>
      <c r="M112" s="4">
        <v>103.05</v>
      </c>
      <c r="N112" s="4">
        <v>76.95</v>
      </c>
      <c r="O112" s="3" t="s">
        <v>65</v>
      </c>
      <c r="P112" t="str">
        <f t="shared" si="1"/>
        <v>Low Sales</v>
      </c>
    </row>
    <row r="113" spans="1:16">
      <c r="A113" s="1" t="s">
        <v>180</v>
      </c>
      <c r="B113" s="2">
        <v>46249</v>
      </c>
      <c r="C113" s="3" t="s">
        <v>94</v>
      </c>
      <c r="D113" s="3" t="s">
        <v>18</v>
      </c>
      <c r="E113" s="3" t="s">
        <v>16</v>
      </c>
      <c r="F113" s="3" t="s">
        <v>71</v>
      </c>
      <c r="G113" s="3" t="s">
        <v>53</v>
      </c>
      <c r="H113" s="3" t="s">
        <v>50</v>
      </c>
      <c r="I113" s="8">
        <v>2</v>
      </c>
      <c r="J113" s="5">
        <v>520</v>
      </c>
      <c r="K113" s="9">
        <v>0.1</v>
      </c>
      <c r="L113" s="4">
        <v>936</v>
      </c>
      <c r="M113" s="4">
        <v>403.85</v>
      </c>
      <c r="N113" s="4">
        <v>128.30000000000001</v>
      </c>
      <c r="O113" s="3" t="s">
        <v>65</v>
      </c>
      <c r="P113" t="str">
        <f t="shared" si="1"/>
        <v>Low Sales</v>
      </c>
    </row>
    <row r="114" spans="1:16">
      <c r="A114" s="1" t="s">
        <v>181</v>
      </c>
      <c r="B114" s="2">
        <v>46249</v>
      </c>
      <c r="C114" s="3" t="s">
        <v>60</v>
      </c>
      <c r="D114" s="3" t="s">
        <v>22</v>
      </c>
      <c r="E114" s="3" t="s">
        <v>20</v>
      </c>
      <c r="F114" s="3" t="s">
        <v>61</v>
      </c>
      <c r="G114" s="3" t="s">
        <v>68</v>
      </c>
      <c r="H114" s="3" t="s">
        <v>63</v>
      </c>
      <c r="I114" s="8">
        <v>8</v>
      </c>
      <c r="J114" s="5">
        <v>40</v>
      </c>
      <c r="K114" s="9">
        <v>0</v>
      </c>
      <c r="L114" s="4">
        <v>320</v>
      </c>
      <c r="M114" s="4">
        <v>26.71</v>
      </c>
      <c r="N114" s="4">
        <v>106.32</v>
      </c>
      <c r="O114" s="3" t="s">
        <v>51</v>
      </c>
      <c r="P114" t="str">
        <f t="shared" si="1"/>
        <v>Low Sales</v>
      </c>
    </row>
    <row r="115" spans="1:16">
      <c r="A115" s="1" t="s">
        <v>182</v>
      </c>
      <c r="B115" s="2">
        <v>46252</v>
      </c>
      <c r="C115" s="3" t="s">
        <v>47</v>
      </c>
      <c r="D115" s="3" t="s">
        <v>10</v>
      </c>
      <c r="E115" s="3" t="s">
        <v>8</v>
      </c>
      <c r="F115" s="3" t="s">
        <v>61</v>
      </c>
      <c r="G115" s="3" t="s">
        <v>53</v>
      </c>
      <c r="H115" s="3" t="s">
        <v>63</v>
      </c>
      <c r="I115" s="8">
        <v>3</v>
      </c>
      <c r="J115" s="5">
        <v>180</v>
      </c>
      <c r="K115" s="9">
        <v>0.15</v>
      </c>
      <c r="L115" s="4">
        <v>459</v>
      </c>
      <c r="M115" s="4">
        <v>106.38</v>
      </c>
      <c r="N115" s="4">
        <v>139.86000000000001</v>
      </c>
      <c r="O115" s="3" t="s">
        <v>58</v>
      </c>
      <c r="P115" t="str">
        <f t="shared" si="1"/>
        <v>Low Sales</v>
      </c>
    </row>
    <row r="116" spans="1:16">
      <c r="A116" s="1" t="s">
        <v>183</v>
      </c>
      <c r="B116" s="2">
        <v>46253</v>
      </c>
      <c r="C116" s="3" t="s">
        <v>81</v>
      </c>
      <c r="D116" s="3" t="s">
        <v>17</v>
      </c>
      <c r="E116" s="3" t="s">
        <v>16</v>
      </c>
      <c r="F116" s="3" t="s">
        <v>57</v>
      </c>
      <c r="G116" s="3" t="s">
        <v>49</v>
      </c>
      <c r="H116" s="3" t="s">
        <v>54</v>
      </c>
      <c r="I116" s="8">
        <v>6</v>
      </c>
      <c r="J116" s="5">
        <v>220</v>
      </c>
      <c r="K116" s="9">
        <v>0.05</v>
      </c>
      <c r="L116" s="4">
        <v>1254</v>
      </c>
      <c r="M116" s="4">
        <v>155.47</v>
      </c>
      <c r="N116" s="4">
        <v>321.18</v>
      </c>
      <c r="O116" s="3" t="s">
        <v>65</v>
      </c>
      <c r="P116" t="str">
        <f t="shared" si="1"/>
        <v>Low Sales</v>
      </c>
    </row>
    <row r="117" spans="1:16">
      <c r="A117" s="1" t="s">
        <v>184</v>
      </c>
      <c r="B117" s="2">
        <v>46254</v>
      </c>
      <c r="C117" s="3" t="s">
        <v>94</v>
      </c>
      <c r="D117" s="3" t="s">
        <v>18</v>
      </c>
      <c r="E117" s="3" t="s">
        <v>16</v>
      </c>
      <c r="F117" s="3" t="s">
        <v>57</v>
      </c>
      <c r="G117" s="3" t="s">
        <v>68</v>
      </c>
      <c r="H117" s="3" t="s">
        <v>54</v>
      </c>
      <c r="I117" s="8">
        <v>5</v>
      </c>
      <c r="J117" s="5">
        <v>520</v>
      </c>
      <c r="K117" s="9">
        <v>0.1</v>
      </c>
      <c r="L117" s="4">
        <v>2340</v>
      </c>
      <c r="M117" s="4">
        <v>351.19</v>
      </c>
      <c r="N117" s="4">
        <v>584.04999999999995</v>
      </c>
      <c r="O117" s="3" t="s">
        <v>65</v>
      </c>
      <c r="P117" t="str">
        <f t="shared" si="1"/>
        <v>High Sales</v>
      </c>
    </row>
    <row r="118" spans="1:16">
      <c r="A118" s="1" t="s">
        <v>185</v>
      </c>
      <c r="B118" s="2">
        <v>46255</v>
      </c>
      <c r="C118" s="3" t="s">
        <v>81</v>
      </c>
      <c r="D118" s="3" t="s">
        <v>17</v>
      </c>
      <c r="E118" s="3" t="s">
        <v>16</v>
      </c>
      <c r="F118" s="3" t="s">
        <v>71</v>
      </c>
      <c r="G118" s="3" t="s">
        <v>53</v>
      </c>
      <c r="H118" s="3" t="s">
        <v>54</v>
      </c>
      <c r="I118" s="8">
        <v>4</v>
      </c>
      <c r="J118" s="5">
        <v>220</v>
      </c>
      <c r="K118" s="9">
        <v>0</v>
      </c>
      <c r="L118" s="4">
        <v>880</v>
      </c>
      <c r="M118" s="4">
        <v>167.4</v>
      </c>
      <c r="N118" s="4">
        <v>210.4</v>
      </c>
      <c r="O118" s="3" t="s">
        <v>51</v>
      </c>
      <c r="P118" t="str">
        <f t="shared" si="1"/>
        <v>Low Sales</v>
      </c>
    </row>
    <row r="119" spans="1:16">
      <c r="A119" s="1" t="s">
        <v>186</v>
      </c>
      <c r="B119" s="2">
        <v>46258</v>
      </c>
      <c r="C119" s="3" t="s">
        <v>47</v>
      </c>
      <c r="D119" s="3" t="s">
        <v>10</v>
      </c>
      <c r="E119" s="3" t="s">
        <v>8</v>
      </c>
      <c r="F119" s="3" t="s">
        <v>57</v>
      </c>
      <c r="G119" s="3" t="s">
        <v>62</v>
      </c>
      <c r="H119" s="3" t="s">
        <v>54</v>
      </c>
      <c r="I119" s="8">
        <v>5</v>
      </c>
      <c r="J119" s="5">
        <v>180</v>
      </c>
      <c r="K119" s="9">
        <v>0.15</v>
      </c>
      <c r="L119" s="4">
        <v>765</v>
      </c>
      <c r="M119" s="4">
        <v>137.1</v>
      </c>
      <c r="N119" s="4">
        <v>79.5</v>
      </c>
      <c r="O119" s="3" t="s">
        <v>65</v>
      </c>
      <c r="P119" t="str">
        <f t="shared" si="1"/>
        <v>Low Sales</v>
      </c>
    </row>
    <row r="120" spans="1:16">
      <c r="A120" s="1" t="s">
        <v>187</v>
      </c>
      <c r="B120" s="2">
        <v>46260</v>
      </c>
      <c r="C120" s="3" t="s">
        <v>67</v>
      </c>
      <c r="D120" s="3" t="s">
        <v>21</v>
      </c>
      <c r="E120" s="3" t="s">
        <v>20</v>
      </c>
      <c r="F120" s="3" t="s">
        <v>61</v>
      </c>
      <c r="G120" s="3" t="s">
        <v>62</v>
      </c>
      <c r="H120" s="3" t="s">
        <v>63</v>
      </c>
      <c r="I120" s="8">
        <v>1</v>
      </c>
      <c r="J120" s="5">
        <v>60</v>
      </c>
      <c r="K120" s="9">
        <v>0.15</v>
      </c>
      <c r="L120" s="4">
        <v>51</v>
      </c>
      <c r="M120" s="4">
        <v>45.97</v>
      </c>
      <c r="N120" s="4">
        <v>5.03</v>
      </c>
      <c r="O120" s="3" t="s">
        <v>58</v>
      </c>
      <c r="P120" t="str">
        <f t="shared" si="1"/>
        <v>Low Sales</v>
      </c>
    </row>
    <row r="121" spans="1:16">
      <c r="A121" s="1" t="s">
        <v>188</v>
      </c>
      <c r="B121" s="2">
        <v>46260</v>
      </c>
      <c r="C121" s="3" t="s">
        <v>47</v>
      </c>
      <c r="D121" s="3" t="s">
        <v>10</v>
      </c>
      <c r="E121" s="3" t="s">
        <v>8</v>
      </c>
      <c r="F121" s="3" t="s">
        <v>48</v>
      </c>
      <c r="G121" s="3" t="s">
        <v>49</v>
      </c>
      <c r="H121" s="3" t="s">
        <v>54</v>
      </c>
      <c r="I121" s="8">
        <v>4</v>
      </c>
      <c r="J121" s="5">
        <v>180</v>
      </c>
      <c r="K121" s="9">
        <v>0.15</v>
      </c>
      <c r="L121" s="4">
        <v>612</v>
      </c>
      <c r="M121" s="4">
        <v>133.69</v>
      </c>
      <c r="N121" s="4">
        <v>77.239999999999995</v>
      </c>
      <c r="O121" s="3" t="s">
        <v>51</v>
      </c>
      <c r="P121" t="str">
        <f t="shared" si="1"/>
        <v>Low Sales</v>
      </c>
    </row>
    <row r="122" spans="1:16">
      <c r="A122" s="1" t="s">
        <v>189</v>
      </c>
      <c r="B122" s="2">
        <v>46264</v>
      </c>
      <c r="C122" s="3" t="s">
        <v>67</v>
      </c>
      <c r="D122" s="3" t="s">
        <v>21</v>
      </c>
      <c r="E122" s="3" t="s">
        <v>20</v>
      </c>
      <c r="F122" s="3" t="s">
        <v>61</v>
      </c>
      <c r="G122" s="3" t="s">
        <v>49</v>
      </c>
      <c r="H122" s="3" t="s">
        <v>50</v>
      </c>
      <c r="I122" s="8">
        <v>5</v>
      </c>
      <c r="J122" s="5">
        <v>60</v>
      </c>
      <c r="K122" s="9">
        <v>0.05</v>
      </c>
      <c r="L122" s="4">
        <v>285</v>
      </c>
      <c r="M122" s="4">
        <v>36.950000000000003</v>
      </c>
      <c r="N122" s="4">
        <v>100.25</v>
      </c>
      <c r="O122" s="3" t="s">
        <v>65</v>
      </c>
      <c r="P122" t="str">
        <f t="shared" si="1"/>
        <v>Low Sales</v>
      </c>
    </row>
    <row r="123" spans="1:16">
      <c r="A123" s="1" t="s">
        <v>190</v>
      </c>
      <c r="B123" s="2">
        <v>46269</v>
      </c>
      <c r="C123" s="3" t="s">
        <v>81</v>
      </c>
      <c r="D123" s="3" t="s">
        <v>17</v>
      </c>
      <c r="E123" s="3" t="s">
        <v>16</v>
      </c>
      <c r="F123" s="3" t="s">
        <v>71</v>
      </c>
      <c r="G123" s="3" t="s">
        <v>53</v>
      </c>
      <c r="H123" s="3" t="s">
        <v>54</v>
      </c>
      <c r="I123" s="8">
        <v>1</v>
      </c>
      <c r="J123" s="5">
        <v>220</v>
      </c>
      <c r="K123" s="9">
        <v>0.15</v>
      </c>
      <c r="L123" s="4">
        <v>187</v>
      </c>
      <c r="M123" s="4">
        <v>131.02000000000001</v>
      </c>
      <c r="N123" s="4">
        <v>55.98</v>
      </c>
      <c r="O123" s="3" t="s">
        <v>58</v>
      </c>
      <c r="P123" t="str">
        <f t="shared" si="1"/>
        <v>Low Sales</v>
      </c>
    </row>
    <row r="124" spans="1:16">
      <c r="A124" s="1" t="s">
        <v>191</v>
      </c>
      <c r="B124" s="2">
        <v>46269</v>
      </c>
      <c r="C124" s="3" t="s">
        <v>60</v>
      </c>
      <c r="D124" s="3" t="s">
        <v>22</v>
      </c>
      <c r="E124" s="3" t="s">
        <v>20</v>
      </c>
      <c r="F124" s="3" t="s">
        <v>57</v>
      </c>
      <c r="G124" s="3" t="s">
        <v>49</v>
      </c>
      <c r="H124" s="3" t="s">
        <v>50</v>
      </c>
      <c r="I124" s="8">
        <v>3</v>
      </c>
      <c r="J124" s="5">
        <v>40</v>
      </c>
      <c r="K124" s="9">
        <v>0.1</v>
      </c>
      <c r="L124" s="4">
        <v>108</v>
      </c>
      <c r="M124" s="4">
        <v>26.23</v>
      </c>
      <c r="N124" s="4">
        <v>29.31</v>
      </c>
      <c r="O124" s="3" t="s">
        <v>65</v>
      </c>
      <c r="P124" t="str">
        <f t="shared" si="1"/>
        <v>Low Sales</v>
      </c>
    </row>
    <row r="125" spans="1:16">
      <c r="A125" s="1" t="s">
        <v>192</v>
      </c>
      <c r="B125" s="2">
        <v>46271</v>
      </c>
      <c r="C125" s="3" t="s">
        <v>47</v>
      </c>
      <c r="D125" s="3" t="s">
        <v>10</v>
      </c>
      <c r="E125" s="3" t="s">
        <v>8</v>
      </c>
      <c r="F125" s="3" t="s">
        <v>71</v>
      </c>
      <c r="G125" s="3" t="s">
        <v>68</v>
      </c>
      <c r="H125" s="3" t="s">
        <v>63</v>
      </c>
      <c r="I125" s="8">
        <v>6</v>
      </c>
      <c r="J125" s="5">
        <v>180</v>
      </c>
      <c r="K125" s="9">
        <v>0.15</v>
      </c>
      <c r="L125" s="4">
        <v>918</v>
      </c>
      <c r="M125" s="4">
        <v>105.8</v>
      </c>
      <c r="N125" s="4">
        <v>283.2</v>
      </c>
      <c r="O125" s="3" t="s">
        <v>51</v>
      </c>
      <c r="P125" t="str">
        <f t="shared" si="1"/>
        <v>Low Sales</v>
      </c>
    </row>
    <row r="126" spans="1:16">
      <c r="A126" s="1" t="s">
        <v>193</v>
      </c>
      <c r="B126" s="2">
        <v>46272</v>
      </c>
      <c r="C126" s="3" t="s">
        <v>67</v>
      </c>
      <c r="D126" s="3" t="s">
        <v>21</v>
      </c>
      <c r="E126" s="3" t="s">
        <v>20</v>
      </c>
      <c r="F126" s="3" t="s">
        <v>57</v>
      </c>
      <c r="G126" s="3" t="s">
        <v>68</v>
      </c>
      <c r="H126" s="3" t="s">
        <v>50</v>
      </c>
      <c r="I126" s="8">
        <v>4</v>
      </c>
      <c r="J126" s="5">
        <v>60</v>
      </c>
      <c r="K126" s="9">
        <v>0.15</v>
      </c>
      <c r="L126" s="4">
        <v>204</v>
      </c>
      <c r="M126" s="4">
        <v>40.51</v>
      </c>
      <c r="N126" s="4">
        <v>41.96</v>
      </c>
      <c r="O126" s="3" t="s">
        <v>51</v>
      </c>
      <c r="P126" t="str">
        <f t="shared" si="1"/>
        <v>Low Sales</v>
      </c>
    </row>
    <row r="127" spans="1:16">
      <c r="A127" s="1" t="s">
        <v>194</v>
      </c>
      <c r="B127" s="2">
        <v>46272</v>
      </c>
      <c r="C127" s="3" t="s">
        <v>94</v>
      </c>
      <c r="D127" s="3" t="s">
        <v>18</v>
      </c>
      <c r="E127" s="3" t="s">
        <v>16</v>
      </c>
      <c r="F127" s="3" t="s">
        <v>71</v>
      </c>
      <c r="G127" s="3" t="s">
        <v>72</v>
      </c>
      <c r="H127" s="3" t="s">
        <v>54</v>
      </c>
      <c r="I127" s="8">
        <v>7</v>
      </c>
      <c r="J127" s="5">
        <v>520</v>
      </c>
      <c r="K127" s="9">
        <v>0.1</v>
      </c>
      <c r="L127" s="4">
        <v>3276</v>
      </c>
      <c r="M127" s="4">
        <v>315.61</v>
      </c>
      <c r="N127" s="4">
        <v>1066.73</v>
      </c>
      <c r="O127" s="3" t="s">
        <v>51</v>
      </c>
      <c r="P127" t="str">
        <f t="shared" si="1"/>
        <v>High Sales</v>
      </c>
    </row>
    <row r="128" spans="1:16">
      <c r="A128" s="1" t="s">
        <v>195</v>
      </c>
      <c r="B128" s="2">
        <v>46273</v>
      </c>
      <c r="C128" s="3" t="s">
        <v>94</v>
      </c>
      <c r="D128" s="3" t="s">
        <v>18</v>
      </c>
      <c r="E128" s="3" t="s">
        <v>16</v>
      </c>
      <c r="F128" s="3" t="s">
        <v>71</v>
      </c>
      <c r="G128" s="3" t="s">
        <v>62</v>
      </c>
      <c r="H128" s="3" t="s">
        <v>54</v>
      </c>
      <c r="I128" s="8">
        <v>7</v>
      </c>
      <c r="J128" s="5">
        <v>520</v>
      </c>
      <c r="K128" s="9">
        <v>0.05</v>
      </c>
      <c r="L128" s="4">
        <v>3458</v>
      </c>
      <c r="M128" s="4">
        <v>348.04</v>
      </c>
      <c r="N128" s="4">
        <v>1021.72</v>
      </c>
      <c r="O128" s="3" t="s">
        <v>51</v>
      </c>
      <c r="P128" t="str">
        <f t="shared" si="1"/>
        <v>High Sales</v>
      </c>
    </row>
    <row r="129" spans="1:16">
      <c r="A129" s="1" t="s">
        <v>196</v>
      </c>
      <c r="B129" s="2">
        <v>46275</v>
      </c>
      <c r="C129" s="3" t="s">
        <v>47</v>
      </c>
      <c r="D129" s="3" t="s">
        <v>10</v>
      </c>
      <c r="E129" s="3" t="s">
        <v>8</v>
      </c>
      <c r="F129" s="3" t="s">
        <v>61</v>
      </c>
      <c r="G129" s="3" t="s">
        <v>72</v>
      </c>
      <c r="H129" s="3" t="s">
        <v>54</v>
      </c>
      <c r="I129" s="8">
        <v>1</v>
      </c>
      <c r="J129" s="5">
        <v>180</v>
      </c>
      <c r="K129" s="9">
        <v>0.1</v>
      </c>
      <c r="L129" s="4">
        <v>162</v>
      </c>
      <c r="M129" s="4">
        <v>120.53</v>
      </c>
      <c r="N129" s="4">
        <v>41.47</v>
      </c>
      <c r="O129" s="3" t="s">
        <v>58</v>
      </c>
      <c r="P129" t="str">
        <f t="shared" si="1"/>
        <v>Low Sales</v>
      </c>
    </row>
    <row r="130" spans="1:16">
      <c r="A130" s="1" t="s">
        <v>197</v>
      </c>
      <c r="B130" s="2">
        <v>46275</v>
      </c>
      <c r="C130" s="3" t="s">
        <v>67</v>
      </c>
      <c r="D130" s="3" t="s">
        <v>21</v>
      </c>
      <c r="E130" s="3" t="s">
        <v>20</v>
      </c>
      <c r="F130" s="3" t="s">
        <v>61</v>
      </c>
      <c r="G130" s="3" t="s">
        <v>62</v>
      </c>
      <c r="H130" s="3" t="s">
        <v>63</v>
      </c>
      <c r="I130" s="8">
        <v>8</v>
      </c>
      <c r="J130" s="5">
        <v>60</v>
      </c>
      <c r="K130" s="9">
        <v>0.05</v>
      </c>
      <c r="L130" s="4">
        <v>456</v>
      </c>
      <c r="M130" s="4">
        <v>43.09</v>
      </c>
      <c r="N130" s="4">
        <v>111.28</v>
      </c>
      <c r="O130" s="3" t="s">
        <v>58</v>
      </c>
      <c r="P130" t="str">
        <f t="shared" si="1"/>
        <v>Low Sales</v>
      </c>
    </row>
    <row r="131" spans="1:16">
      <c r="A131" s="1" t="s">
        <v>198</v>
      </c>
      <c r="B131" s="2">
        <v>46275</v>
      </c>
      <c r="C131" s="3" t="s">
        <v>47</v>
      </c>
      <c r="D131" s="3" t="s">
        <v>10</v>
      </c>
      <c r="E131" s="3" t="s">
        <v>8</v>
      </c>
      <c r="F131" s="3" t="s">
        <v>48</v>
      </c>
      <c r="G131" s="3" t="s">
        <v>49</v>
      </c>
      <c r="H131" s="3" t="s">
        <v>54</v>
      </c>
      <c r="I131" s="8">
        <v>2</v>
      </c>
      <c r="J131" s="5">
        <v>180</v>
      </c>
      <c r="K131" s="9">
        <v>0.15</v>
      </c>
      <c r="L131" s="4">
        <v>306</v>
      </c>
      <c r="M131" s="4">
        <v>107.6</v>
      </c>
      <c r="N131" s="4">
        <v>90.8</v>
      </c>
      <c r="O131" s="3" t="s">
        <v>51</v>
      </c>
      <c r="P131" t="str">
        <f t="shared" ref="P131:P151" si="2">IF(L131&gt;=2000,"High Sales","Low Sales")</f>
        <v>Low Sales</v>
      </c>
    </row>
    <row r="132" spans="1:16">
      <c r="A132" s="1" t="s">
        <v>199</v>
      </c>
      <c r="B132" s="2">
        <v>46276</v>
      </c>
      <c r="C132" s="3" t="s">
        <v>67</v>
      </c>
      <c r="D132" s="3" t="s">
        <v>21</v>
      </c>
      <c r="E132" s="3" t="s">
        <v>20</v>
      </c>
      <c r="F132" s="3" t="s">
        <v>61</v>
      </c>
      <c r="G132" s="3" t="s">
        <v>49</v>
      </c>
      <c r="H132" s="3" t="s">
        <v>63</v>
      </c>
      <c r="I132" s="8">
        <v>3</v>
      </c>
      <c r="J132" s="5">
        <v>60</v>
      </c>
      <c r="K132" s="9">
        <v>0</v>
      </c>
      <c r="L132" s="4">
        <v>180</v>
      </c>
      <c r="M132" s="4">
        <v>37.130000000000003</v>
      </c>
      <c r="N132" s="4">
        <v>68.61</v>
      </c>
      <c r="O132" s="3" t="s">
        <v>51</v>
      </c>
      <c r="P132" t="str">
        <f t="shared" si="2"/>
        <v>Low Sales</v>
      </c>
    </row>
    <row r="133" spans="1:16">
      <c r="A133" s="1" t="s">
        <v>200</v>
      </c>
      <c r="B133" s="2">
        <v>46276</v>
      </c>
      <c r="C133" s="3" t="s">
        <v>67</v>
      </c>
      <c r="D133" s="3" t="s">
        <v>21</v>
      </c>
      <c r="E133" s="3" t="s">
        <v>20</v>
      </c>
      <c r="F133" s="3" t="s">
        <v>71</v>
      </c>
      <c r="G133" s="3" t="s">
        <v>62</v>
      </c>
      <c r="H133" s="3" t="s">
        <v>50</v>
      </c>
      <c r="I133" s="8">
        <v>2</v>
      </c>
      <c r="J133" s="5">
        <v>60</v>
      </c>
      <c r="K133" s="9">
        <v>0.05</v>
      </c>
      <c r="L133" s="4">
        <v>114</v>
      </c>
      <c r="M133" s="4">
        <v>33.04</v>
      </c>
      <c r="N133" s="4">
        <v>47.92</v>
      </c>
      <c r="O133" s="3" t="s">
        <v>58</v>
      </c>
      <c r="P133" t="str">
        <f t="shared" si="2"/>
        <v>Low Sales</v>
      </c>
    </row>
    <row r="134" spans="1:16">
      <c r="A134" s="1" t="s">
        <v>201</v>
      </c>
      <c r="B134" s="2">
        <v>46280</v>
      </c>
      <c r="C134" s="3" t="s">
        <v>79</v>
      </c>
      <c r="D134" s="3" t="s">
        <v>14</v>
      </c>
      <c r="E134" s="3" t="s">
        <v>12</v>
      </c>
      <c r="F134" s="3" t="s">
        <v>57</v>
      </c>
      <c r="G134" s="3" t="s">
        <v>62</v>
      </c>
      <c r="H134" s="3" t="s">
        <v>50</v>
      </c>
      <c r="I134" s="8">
        <v>4</v>
      </c>
      <c r="J134" s="5">
        <v>650</v>
      </c>
      <c r="K134" s="9">
        <v>0.05</v>
      </c>
      <c r="L134" s="4">
        <v>2470</v>
      </c>
      <c r="M134" s="4">
        <v>364.08</v>
      </c>
      <c r="N134" s="4">
        <v>1013.68</v>
      </c>
      <c r="O134" s="3" t="s">
        <v>58</v>
      </c>
      <c r="P134" t="str">
        <f t="shared" si="2"/>
        <v>High Sales</v>
      </c>
    </row>
    <row r="135" spans="1:16">
      <c r="A135" s="1" t="s">
        <v>202</v>
      </c>
      <c r="B135" s="2">
        <v>46283</v>
      </c>
      <c r="C135" s="3" t="s">
        <v>47</v>
      </c>
      <c r="D135" s="3" t="s">
        <v>10</v>
      </c>
      <c r="E135" s="3" t="s">
        <v>8</v>
      </c>
      <c r="F135" s="3" t="s">
        <v>61</v>
      </c>
      <c r="G135" s="3" t="s">
        <v>62</v>
      </c>
      <c r="H135" s="3" t="s">
        <v>50</v>
      </c>
      <c r="I135" s="8">
        <v>8</v>
      </c>
      <c r="J135" s="5">
        <v>180</v>
      </c>
      <c r="K135" s="9">
        <v>0.15</v>
      </c>
      <c r="L135" s="4">
        <v>1224</v>
      </c>
      <c r="M135" s="4">
        <v>104.37</v>
      </c>
      <c r="N135" s="4">
        <v>389.04</v>
      </c>
      <c r="O135" s="3" t="s">
        <v>51</v>
      </c>
      <c r="P135" t="str">
        <f t="shared" si="2"/>
        <v>Low Sales</v>
      </c>
    </row>
    <row r="136" spans="1:16">
      <c r="A136" s="1" t="s">
        <v>203</v>
      </c>
      <c r="B136" s="2">
        <v>46283</v>
      </c>
      <c r="C136" s="3" t="s">
        <v>81</v>
      </c>
      <c r="D136" s="3" t="s">
        <v>17</v>
      </c>
      <c r="E136" s="3" t="s">
        <v>16</v>
      </c>
      <c r="F136" s="3" t="s">
        <v>57</v>
      </c>
      <c r="G136" s="3" t="s">
        <v>62</v>
      </c>
      <c r="H136" s="3" t="s">
        <v>54</v>
      </c>
      <c r="I136" s="8">
        <v>2</v>
      </c>
      <c r="J136" s="5">
        <v>220</v>
      </c>
      <c r="K136" s="9">
        <v>0</v>
      </c>
      <c r="L136" s="4">
        <v>440</v>
      </c>
      <c r="M136" s="4">
        <v>153.71</v>
      </c>
      <c r="N136" s="4">
        <v>132.58000000000001</v>
      </c>
      <c r="O136" s="3" t="s">
        <v>65</v>
      </c>
      <c r="P136" t="str">
        <f t="shared" si="2"/>
        <v>Low Sales</v>
      </c>
    </row>
    <row r="137" spans="1:16">
      <c r="A137" s="1" t="s">
        <v>204</v>
      </c>
      <c r="B137" s="2">
        <v>46286</v>
      </c>
      <c r="C137" s="3" t="s">
        <v>94</v>
      </c>
      <c r="D137" s="3" t="s">
        <v>18</v>
      </c>
      <c r="E137" s="3" t="s">
        <v>16</v>
      </c>
      <c r="F137" s="3" t="s">
        <v>48</v>
      </c>
      <c r="G137" s="3" t="s">
        <v>68</v>
      </c>
      <c r="H137" s="3" t="s">
        <v>54</v>
      </c>
      <c r="I137" s="8">
        <v>4</v>
      </c>
      <c r="J137" s="5">
        <v>520</v>
      </c>
      <c r="K137" s="9">
        <v>0.15</v>
      </c>
      <c r="L137" s="4">
        <v>1768</v>
      </c>
      <c r="M137" s="4">
        <v>313.51</v>
      </c>
      <c r="N137" s="4">
        <v>513.96</v>
      </c>
      <c r="O137" s="3" t="s">
        <v>58</v>
      </c>
      <c r="P137" t="str">
        <f t="shared" si="2"/>
        <v>Low Sales</v>
      </c>
    </row>
    <row r="138" spans="1:16">
      <c r="A138" s="1" t="s">
        <v>205</v>
      </c>
      <c r="B138" s="2">
        <v>46286</v>
      </c>
      <c r="C138" s="3" t="s">
        <v>94</v>
      </c>
      <c r="D138" s="3" t="s">
        <v>18</v>
      </c>
      <c r="E138" s="3" t="s">
        <v>16</v>
      </c>
      <c r="F138" s="3" t="s">
        <v>61</v>
      </c>
      <c r="G138" s="3" t="s">
        <v>53</v>
      </c>
      <c r="H138" s="3" t="s">
        <v>63</v>
      </c>
      <c r="I138" s="8">
        <v>4</v>
      </c>
      <c r="J138" s="5">
        <v>520</v>
      </c>
      <c r="K138" s="9">
        <v>0.05</v>
      </c>
      <c r="L138" s="4">
        <v>1976</v>
      </c>
      <c r="M138" s="4">
        <v>358.13</v>
      </c>
      <c r="N138" s="4">
        <v>543.48</v>
      </c>
      <c r="O138" s="3" t="s">
        <v>51</v>
      </c>
      <c r="P138" t="str">
        <f t="shared" si="2"/>
        <v>Low Sales</v>
      </c>
    </row>
    <row r="139" spans="1:16">
      <c r="A139" s="1" t="s">
        <v>206</v>
      </c>
      <c r="B139" s="2">
        <v>46287</v>
      </c>
      <c r="C139" s="3" t="s">
        <v>70</v>
      </c>
      <c r="D139" s="3" t="s">
        <v>13</v>
      </c>
      <c r="E139" s="3" t="s">
        <v>12</v>
      </c>
      <c r="F139" s="3" t="s">
        <v>57</v>
      </c>
      <c r="G139" s="3" t="s">
        <v>72</v>
      </c>
      <c r="H139" s="3" t="s">
        <v>54</v>
      </c>
      <c r="I139" s="8">
        <v>3</v>
      </c>
      <c r="J139" s="5">
        <v>450</v>
      </c>
      <c r="K139" s="9">
        <v>0.1</v>
      </c>
      <c r="L139" s="4">
        <v>1215</v>
      </c>
      <c r="M139" s="4">
        <v>303.58999999999997</v>
      </c>
      <c r="N139" s="4">
        <v>304.23</v>
      </c>
      <c r="O139" s="3" t="s">
        <v>65</v>
      </c>
      <c r="P139" t="str">
        <f t="shared" si="2"/>
        <v>Low Sales</v>
      </c>
    </row>
    <row r="140" spans="1:16">
      <c r="A140" s="1" t="s">
        <v>207</v>
      </c>
      <c r="B140" s="2">
        <v>46291</v>
      </c>
      <c r="C140" s="3" t="s">
        <v>94</v>
      </c>
      <c r="D140" s="3" t="s">
        <v>18</v>
      </c>
      <c r="E140" s="3" t="s">
        <v>16</v>
      </c>
      <c r="F140" s="3" t="s">
        <v>71</v>
      </c>
      <c r="G140" s="3" t="s">
        <v>49</v>
      </c>
      <c r="H140" s="3" t="s">
        <v>54</v>
      </c>
      <c r="I140" s="8">
        <v>5</v>
      </c>
      <c r="J140" s="5">
        <v>520</v>
      </c>
      <c r="K140" s="9">
        <v>0.15</v>
      </c>
      <c r="L140" s="4">
        <v>2210</v>
      </c>
      <c r="M140" s="4">
        <v>411.28</v>
      </c>
      <c r="N140" s="4">
        <v>153.6</v>
      </c>
      <c r="O140" s="3" t="s">
        <v>51</v>
      </c>
      <c r="P140" t="str">
        <f t="shared" si="2"/>
        <v>High Sales</v>
      </c>
    </row>
    <row r="141" spans="1:16">
      <c r="A141" s="1" t="s">
        <v>208</v>
      </c>
      <c r="B141" s="2">
        <v>46292</v>
      </c>
      <c r="C141" s="3" t="s">
        <v>47</v>
      </c>
      <c r="D141" s="3" t="s">
        <v>10</v>
      </c>
      <c r="E141" s="3" t="s">
        <v>8</v>
      </c>
      <c r="F141" s="3" t="s">
        <v>71</v>
      </c>
      <c r="G141" s="3" t="s">
        <v>72</v>
      </c>
      <c r="H141" s="3" t="s">
        <v>63</v>
      </c>
      <c r="I141" s="8">
        <v>3</v>
      </c>
      <c r="J141" s="5">
        <v>180</v>
      </c>
      <c r="K141" s="9">
        <v>0.1</v>
      </c>
      <c r="L141" s="4">
        <v>486</v>
      </c>
      <c r="M141" s="4">
        <v>131.44999999999999</v>
      </c>
      <c r="N141" s="4">
        <v>91.65</v>
      </c>
      <c r="O141" s="3" t="s">
        <v>58</v>
      </c>
      <c r="P141" t="str">
        <f t="shared" si="2"/>
        <v>Low Sales</v>
      </c>
    </row>
    <row r="142" spans="1:16">
      <c r="A142" s="1" t="s">
        <v>209</v>
      </c>
      <c r="B142" s="2">
        <v>46292</v>
      </c>
      <c r="C142" s="3" t="s">
        <v>79</v>
      </c>
      <c r="D142" s="3" t="s">
        <v>14</v>
      </c>
      <c r="E142" s="3" t="s">
        <v>12</v>
      </c>
      <c r="F142" s="3" t="s">
        <v>48</v>
      </c>
      <c r="G142" s="3" t="s">
        <v>49</v>
      </c>
      <c r="H142" s="3" t="s">
        <v>50</v>
      </c>
      <c r="I142" s="8">
        <v>7</v>
      </c>
      <c r="J142" s="5">
        <v>650</v>
      </c>
      <c r="K142" s="9">
        <v>0.05</v>
      </c>
      <c r="L142" s="4">
        <v>4322.5</v>
      </c>
      <c r="M142" s="4">
        <v>399.68</v>
      </c>
      <c r="N142" s="4">
        <v>1524.74</v>
      </c>
      <c r="O142" s="3" t="s">
        <v>58</v>
      </c>
      <c r="P142" t="str">
        <f t="shared" si="2"/>
        <v>High Sales</v>
      </c>
    </row>
    <row r="143" spans="1:16">
      <c r="A143" s="1" t="s">
        <v>210</v>
      </c>
      <c r="B143" s="2">
        <v>46293</v>
      </c>
      <c r="C143" s="3" t="s">
        <v>81</v>
      </c>
      <c r="D143" s="3" t="s">
        <v>17</v>
      </c>
      <c r="E143" s="3" t="s">
        <v>16</v>
      </c>
      <c r="F143" s="3" t="s">
        <v>48</v>
      </c>
      <c r="G143" s="3" t="s">
        <v>53</v>
      </c>
      <c r="H143" s="3" t="s">
        <v>50</v>
      </c>
      <c r="I143" s="8">
        <v>4</v>
      </c>
      <c r="J143" s="5">
        <v>220</v>
      </c>
      <c r="K143" s="9">
        <v>0.1</v>
      </c>
      <c r="L143" s="4">
        <v>792</v>
      </c>
      <c r="M143" s="4">
        <v>167.53</v>
      </c>
      <c r="N143" s="4">
        <v>121.88</v>
      </c>
      <c r="O143" s="3" t="s">
        <v>58</v>
      </c>
      <c r="P143" t="str">
        <f t="shared" si="2"/>
        <v>Low Sales</v>
      </c>
    </row>
    <row r="144" spans="1:16">
      <c r="A144" s="1" t="s">
        <v>211</v>
      </c>
      <c r="B144" s="2">
        <v>46296</v>
      </c>
      <c r="C144" s="3" t="s">
        <v>81</v>
      </c>
      <c r="D144" s="3" t="s">
        <v>17</v>
      </c>
      <c r="E144" s="3" t="s">
        <v>16</v>
      </c>
      <c r="F144" s="3" t="s">
        <v>48</v>
      </c>
      <c r="G144" s="3" t="s">
        <v>72</v>
      </c>
      <c r="H144" s="3" t="s">
        <v>54</v>
      </c>
      <c r="I144" s="8">
        <v>5</v>
      </c>
      <c r="J144" s="5">
        <v>220</v>
      </c>
      <c r="K144" s="9">
        <v>0.05</v>
      </c>
      <c r="L144" s="4">
        <v>1045</v>
      </c>
      <c r="M144" s="4">
        <v>153.36000000000001</v>
      </c>
      <c r="N144" s="4">
        <v>278.2</v>
      </c>
      <c r="O144" s="3" t="s">
        <v>58</v>
      </c>
      <c r="P144" t="str">
        <f t="shared" si="2"/>
        <v>Low Sales</v>
      </c>
    </row>
    <row r="145" spans="1:16">
      <c r="A145" s="1" t="s">
        <v>212</v>
      </c>
      <c r="B145" s="2">
        <v>46299</v>
      </c>
      <c r="C145" s="3" t="s">
        <v>94</v>
      </c>
      <c r="D145" s="3" t="s">
        <v>18</v>
      </c>
      <c r="E145" s="3" t="s">
        <v>16</v>
      </c>
      <c r="F145" s="3" t="s">
        <v>57</v>
      </c>
      <c r="G145" s="3" t="s">
        <v>62</v>
      </c>
      <c r="H145" s="3" t="s">
        <v>63</v>
      </c>
      <c r="I145" s="8">
        <v>3</v>
      </c>
      <c r="J145" s="5">
        <v>520</v>
      </c>
      <c r="K145" s="9">
        <v>0.1</v>
      </c>
      <c r="L145" s="4">
        <v>1404</v>
      </c>
      <c r="M145" s="4">
        <v>373.34</v>
      </c>
      <c r="N145" s="4">
        <v>283.98</v>
      </c>
      <c r="O145" s="3" t="s">
        <v>51</v>
      </c>
      <c r="P145" t="str">
        <f t="shared" si="2"/>
        <v>Low Sales</v>
      </c>
    </row>
    <row r="146" spans="1:16">
      <c r="A146" s="1" t="s">
        <v>213</v>
      </c>
      <c r="B146" s="2">
        <v>46301</v>
      </c>
      <c r="C146" s="3" t="s">
        <v>81</v>
      </c>
      <c r="D146" s="3" t="s">
        <v>17</v>
      </c>
      <c r="E146" s="3" t="s">
        <v>16</v>
      </c>
      <c r="F146" s="3" t="s">
        <v>57</v>
      </c>
      <c r="G146" s="3" t="s">
        <v>49</v>
      </c>
      <c r="H146" s="3" t="s">
        <v>54</v>
      </c>
      <c r="I146" s="8">
        <v>4</v>
      </c>
      <c r="J146" s="5">
        <v>220</v>
      </c>
      <c r="K146" s="9">
        <v>0</v>
      </c>
      <c r="L146" s="4">
        <v>880</v>
      </c>
      <c r="M146" s="4">
        <v>129.13</v>
      </c>
      <c r="N146" s="4">
        <v>363.48</v>
      </c>
      <c r="O146" s="3" t="s">
        <v>65</v>
      </c>
      <c r="P146" t="str">
        <f t="shared" si="2"/>
        <v>Low Sales</v>
      </c>
    </row>
    <row r="147" spans="1:16">
      <c r="A147" s="1" t="s">
        <v>214</v>
      </c>
      <c r="B147" s="2">
        <v>46303</v>
      </c>
      <c r="C147" s="3" t="s">
        <v>60</v>
      </c>
      <c r="D147" s="3" t="s">
        <v>22</v>
      </c>
      <c r="E147" s="3" t="s">
        <v>20</v>
      </c>
      <c r="F147" s="3" t="s">
        <v>71</v>
      </c>
      <c r="G147" s="3" t="s">
        <v>72</v>
      </c>
      <c r="H147" s="3" t="s">
        <v>54</v>
      </c>
      <c r="I147" s="8">
        <v>8</v>
      </c>
      <c r="J147" s="5">
        <v>40</v>
      </c>
      <c r="K147" s="9">
        <v>0.05</v>
      </c>
      <c r="L147" s="4">
        <v>304</v>
      </c>
      <c r="M147" s="4">
        <v>31.09</v>
      </c>
      <c r="N147" s="4">
        <v>55.28</v>
      </c>
      <c r="O147" s="3" t="s">
        <v>58</v>
      </c>
      <c r="P147" t="str">
        <f t="shared" si="2"/>
        <v>Low Sales</v>
      </c>
    </row>
    <row r="148" spans="1:16">
      <c r="A148" s="1" t="s">
        <v>215</v>
      </c>
      <c r="B148" s="2">
        <v>46305</v>
      </c>
      <c r="C148" s="3" t="s">
        <v>47</v>
      </c>
      <c r="D148" s="3" t="s">
        <v>10</v>
      </c>
      <c r="E148" s="3" t="s">
        <v>8</v>
      </c>
      <c r="F148" s="3" t="s">
        <v>61</v>
      </c>
      <c r="G148" s="3" t="s">
        <v>53</v>
      </c>
      <c r="H148" s="3" t="s">
        <v>50</v>
      </c>
      <c r="I148" s="8">
        <v>1</v>
      </c>
      <c r="J148" s="5">
        <v>180</v>
      </c>
      <c r="K148" s="9">
        <v>0.15</v>
      </c>
      <c r="L148" s="4">
        <v>153</v>
      </c>
      <c r="M148" s="4">
        <v>141.82</v>
      </c>
      <c r="N148" s="4">
        <v>11.18</v>
      </c>
      <c r="O148" s="3" t="s">
        <v>65</v>
      </c>
      <c r="P148" t="str">
        <f t="shared" si="2"/>
        <v>Low Sales</v>
      </c>
    </row>
    <row r="149" spans="1:16">
      <c r="A149" s="1" t="s">
        <v>216</v>
      </c>
      <c r="B149" s="2">
        <v>46305</v>
      </c>
      <c r="C149" s="3" t="s">
        <v>56</v>
      </c>
      <c r="D149" s="3" t="s">
        <v>9</v>
      </c>
      <c r="E149" s="3" t="s">
        <v>8</v>
      </c>
      <c r="F149" s="3" t="s">
        <v>61</v>
      </c>
      <c r="G149" s="3" t="s">
        <v>72</v>
      </c>
      <c r="H149" s="3" t="s">
        <v>50</v>
      </c>
      <c r="I149" s="8">
        <v>7</v>
      </c>
      <c r="J149" s="5">
        <v>750</v>
      </c>
      <c r="K149" s="9">
        <v>0.15</v>
      </c>
      <c r="L149" s="4">
        <v>4462.5</v>
      </c>
      <c r="M149" s="4">
        <v>458.31</v>
      </c>
      <c r="N149" s="4">
        <v>1254.33</v>
      </c>
      <c r="O149" s="3" t="s">
        <v>58</v>
      </c>
      <c r="P149" t="str">
        <f t="shared" si="2"/>
        <v>High Sales</v>
      </c>
    </row>
    <row r="150" spans="1:16">
      <c r="A150" s="1" t="s">
        <v>217</v>
      </c>
      <c r="B150" s="2">
        <v>46307</v>
      </c>
      <c r="C150" s="3" t="s">
        <v>60</v>
      </c>
      <c r="D150" s="3" t="s">
        <v>22</v>
      </c>
      <c r="E150" s="3" t="s">
        <v>20</v>
      </c>
      <c r="F150" s="3" t="s">
        <v>48</v>
      </c>
      <c r="G150" s="3" t="s">
        <v>72</v>
      </c>
      <c r="H150" s="3" t="s">
        <v>54</v>
      </c>
      <c r="I150" s="8">
        <v>8</v>
      </c>
      <c r="J150" s="5">
        <v>40</v>
      </c>
      <c r="K150" s="9">
        <v>0.05</v>
      </c>
      <c r="L150" s="4">
        <v>304</v>
      </c>
      <c r="M150" s="4">
        <v>30.83</v>
      </c>
      <c r="N150" s="4">
        <v>57.36</v>
      </c>
      <c r="O150" s="3" t="s">
        <v>58</v>
      </c>
      <c r="P150" t="str">
        <f t="shared" si="2"/>
        <v>Low Sales</v>
      </c>
    </row>
    <row r="151" spans="1:16">
      <c r="A151" s="1" t="s">
        <v>218</v>
      </c>
      <c r="B151" s="2">
        <v>46308</v>
      </c>
      <c r="C151" s="3" t="s">
        <v>47</v>
      </c>
      <c r="D151" s="3" t="s">
        <v>10</v>
      </c>
      <c r="E151" s="3" t="s">
        <v>8</v>
      </c>
      <c r="F151" s="3" t="s">
        <v>57</v>
      </c>
      <c r="G151" s="3" t="s">
        <v>68</v>
      </c>
      <c r="H151" s="3" t="s">
        <v>50</v>
      </c>
      <c r="I151" s="8">
        <v>7</v>
      </c>
      <c r="J151" s="5">
        <v>180</v>
      </c>
      <c r="K151" s="9">
        <v>0.1</v>
      </c>
      <c r="L151" s="4">
        <v>1134</v>
      </c>
      <c r="M151" s="4">
        <v>110.78</v>
      </c>
      <c r="N151" s="4">
        <v>358.54</v>
      </c>
      <c r="O151" s="3" t="s">
        <v>58</v>
      </c>
      <c r="P151" t="str">
        <f t="shared" si="2"/>
        <v>Low Sales</v>
      </c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</sheetData>
  <autoFilter ref="A1:O151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DCE1-D0A4-4752-8327-5D5C26A54189}">
  <dimension ref="A1:J4"/>
  <sheetViews>
    <sheetView workbookViewId="0">
      <selection sqref="A1:D1"/>
    </sheetView>
  </sheetViews>
  <sheetFormatPr defaultRowHeight="15"/>
  <cols>
    <col min="1" max="1" width="12.42578125" customWidth="1"/>
    <col min="2" max="2" width="17.28515625" customWidth="1"/>
    <col min="3" max="3" width="13.7109375" customWidth="1"/>
    <col min="4" max="4" width="20.7109375" customWidth="1"/>
  </cols>
  <sheetData>
    <row r="1" spans="1:10" ht="26.25">
      <c r="A1" s="27" t="s">
        <v>219</v>
      </c>
      <c r="B1" s="27"/>
      <c r="C1" s="27"/>
      <c r="D1" s="27"/>
      <c r="E1" s="18"/>
      <c r="F1" s="18"/>
      <c r="G1" s="18"/>
      <c r="H1" s="18"/>
      <c r="I1" s="17"/>
      <c r="J1" s="17"/>
    </row>
    <row r="2" spans="1:10">
      <c r="A2" s="20" t="s">
        <v>220</v>
      </c>
      <c r="B2" s="21" t="s">
        <v>221</v>
      </c>
      <c r="C2" s="21" t="s">
        <v>222</v>
      </c>
      <c r="D2" s="22" t="s">
        <v>223</v>
      </c>
    </row>
    <row r="3" spans="1:10">
      <c r="A3" s="23">
        <f>SUM(dataset!L2:L151)</f>
        <v>200923</v>
      </c>
      <c r="B3" s="24">
        <f>SUM(dataset!N2:N151)</f>
        <v>52153.170000000013</v>
      </c>
      <c r="C3" s="25">
        <f>COUNTA(dataset!A2:A151)</f>
        <v>150</v>
      </c>
      <c r="D3" s="26">
        <f>SUM(dataset!I2:I151)</f>
        <v>670</v>
      </c>
    </row>
    <row r="4" spans="1:10">
      <c r="C4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2026-10-13T05:11:50Z</dcterms:created>
  <dcterms:modified xsi:type="dcterms:W3CDTF">2026-10-13T09:48:50Z</dcterms:modified>
  <cp:category/>
  <cp:contentStatus/>
</cp:coreProperties>
</file>